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b9ab99dca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使用說明" sheetId="1" r:id="R0b92378818ca4570"/>
    <x:sheet xmlns:r="http://schemas.openxmlformats.org/officeDocument/2006/relationships" name="01旅行控制台" sheetId="2" r:id="Rcc0949927002441e"/>
    <x:sheet xmlns:r="http://schemas.openxmlformats.org/officeDocument/2006/relationships" name="02出發前必做" sheetId="3" r:id="Ra0bec7b1f20a45c8"/>
    <x:sheet xmlns:r="http://schemas.openxmlformats.org/officeDocument/2006/relationships" name="03泰國入境" sheetId="4" r:id="R3a87d68e60ba4a9e"/>
    <x:sheet xmlns:r="http://schemas.openxmlformats.org/officeDocument/2006/relationships" name="04旅遊保險" sheetId="5" r:id="Ra4498046bcf446c8"/>
    <x:sheet xmlns:r="http://schemas.openxmlformats.org/officeDocument/2006/relationships" name="05保險公司比較" sheetId="6" r:id="Ra2d4a9b26cb24bba"/>
    <x:sheet xmlns:r="http://schemas.openxmlformats.org/officeDocument/2006/relationships" name="06保險理賠文件" sheetId="7" r:id="Rb9f5cc6c5b844736"/>
    <x:sheet xmlns:r="http://schemas.openxmlformats.org/officeDocument/2006/relationships" name="07行李航空" sheetId="8" r:id="R3f2e206bc4a840bb"/>
    <x:sheet xmlns:r="http://schemas.openxmlformats.org/officeDocument/2006/relationships" name="08eSIM網路" sheetId="9" r:id="R30c08808c60d4e02"/>
    <x:sheet xmlns:r="http://schemas.openxmlformats.org/officeDocument/2006/relationships" name="09每日總覽" sheetId="10" r:id="R11e1520706954ae2"/>
    <x:sheet xmlns:r="http://schemas.openxmlformats.org/officeDocument/2006/relationships" name="10行程明細" sheetId="11" r:id="R493b9523c0a44342"/>
    <x:sheet xmlns:r="http://schemas.openxmlformats.org/officeDocument/2006/relationships" name="11雨天備案" sheetId="12" r:id="R099fcdc704ef4c16"/>
    <x:sheet xmlns:r="http://schemas.openxmlformats.org/officeDocument/2006/relationships" name="12預算中心" sheetId="13" r:id="Rb680d73369174c73"/>
    <x:sheet xmlns:r="http://schemas.openxmlformats.org/officeDocument/2006/relationships" name="13訂單付款" sheetId="14" r:id="R758034627bdd4c68"/>
    <x:sheet xmlns:r="http://schemas.openxmlformats.org/officeDocument/2006/relationships" name="14交通換錢" sheetId="15" r:id="Rc289f641882e40fd"/>
    <x:sheet xmlns:r="http://schemas.openxmlformats.org/officeDocument/2006/relationships" name="15健康安全" sheetId="16" r:id="Rd928069cf188403d"/>
    <x:sheet xmlns:r="http://schemas.openxmlformats.org/officeDocument/2006/relationships" name="16旅遊生活實用" sheetId="17" r:id="R5624752c52b94233"/>
    <x:sheet xmlns:r="http://schemas.openxmlformats.org/officeDocument/2006/relationships" name="17吃喝按摩購物" sheetId="18" r:id="R7b547b05b5764c29"/>
    <x:sheet xmlns:r="http://schemas.openxmlformats.org/officeDocument/2006/relationships" name="18住宿備選" sheetId="19" r:id="R6a696137d05e4bf1"/>
    <x:sheet xmlns:r="http://schemas.openxmlformats.org/officeDocument/2006/relationships" name="19備用景點" sheetId="20" r:id="R0814a307923b4683"/>
    <x:sheet xmlns:r="http://schemas.openxmlformats.org/officeDocument/2006/relationships" name="20回台退稅" sheetId="21" r:id="Rc30669bfc9534292"/>
    <x:sheet xmlns:r="http://schemas.openxmlformats.org/officeDocument/2006/relationships" name="21來源與變動" sheetId="22" r:id="R131d187427de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e2aed211054cf3" /><Relationship Type="http://schemas.openxmlformats.org/officeDocument/2006/relationships/theme" Target="/xl/theme/theme1.xml" Id="R7dd6969aab5d49a8" /><Relationship Type="http://schemas.openxmlformats.org/officeDocument/2006/relationships/sharedStrings" Target="/xl/sharedStrings.xml" Id="R95c2e4c0f1f04f2f" /><Relationship Type="http://schemas.openxmlformats.org/officeDocument/2006/relationships/worksheet" Target="/xl/worksheets/sheet1.xml" Id="R0b92378818ca4570" /><Relationship Type="http://schemas.openxmlformats.org/officeDocument/2006/relationships/worksheet" Target="/xl/worksheets/sheet2.xml" Id="Rcc0949927002441e" /><Relationship Type="http://schemas.openxmlformats.org/officeDocument/2006/relationships/worksheet" Target="/xl/worksheets/sheet3.xml" Id="Ra0bec7b1f20a45c8" /><Relationship Type="http://schemas.openxmlformats.org/officeDocument/2006/relationships/worksheet" Target="/xl/worksheets/sheet4.xml" Id="R3a87d68e60ba4a9e" /><Relationship Type="http://schemas.openxmlformats.org/officeDocument/2006/relationships/worksheet" Target="/xl/worksheets/sheet5.xml" Id="Ra4498046bcf446c8" /><Relationship Type="http://schemas.openxmlformats.org/officeDocument/2006/relationships/worksheet" Target="/xl/worksheets/sheet6.xml" Id="Ra2d4a9b26cb24bba" /><Relationship Type="http://schemas.openxmlformats.org/officeDocument/2006/relationships/worksheet" Target="/xl/worksheets/sheet7.xml" Id="Rb9f5cc6c5b844736" /><Relationship Type="http://schemas.openxmlformats.org/officeDocument/2006/relationships/worksheet" Target="/xl/worksheets/sheet8.xml" Id="R3f2e206bc4a840bb" /><Relationship Type="http://schemas.openxmlformats.org/officeDocument/2006/relationships/worksheet" Target="/xl/worksheets/sheet9.xml" Id="R30c08808c60d4e02" /><Relationship Type="http://schemas.openxmlformats.org/officeDocument/2006/relationships/worksheet" Target="/xl/worksheets/sheet10.xml" Id="R11e1520706954ae2" /><Relationship Type="http://schemas.openxmlformats.org/officeDocument/2006/relationships/worksheet" Target="/xl/worksheets/sheet11.xml" Id="R493b9523c0a44342" /><Relationship Type="http://schemas.openxmlformats.org/officeDocument/2006/relationships/worksheet" Target="/xl/worksheets/sheet12.xml" Id="R099fcdc704ef4c16" /><Relationship Type="http://schemas.openxmlformats.org/officeDocument/2006/relationships/worksheet" Target="/xl/worksheets/sheet13.xml" Id="Rb680d73369174c73" /><Relationship Type="http://schemas.openxmlformats.org/officeDocument/2006/relationships/worksheet" Target="/xl/worksheets/sheet14.xml" Id="R758034627bdd4c68" /><Relationship Type="http://schemas.openxmlformats.org/officeDocument/2006/relationships/worksheet" Target="/xl/worksheets/sheet15.xml" Id="Rc289f641882e40fd" /><Relationship Type="http://schemas.openxmlformats.org/officeDocument/2006/relationships/worksheet" Target="/xl/worksheets/sheet16.xml" Id="Rd928069cf188403d" /><Relationship Type="http://schemas.openxmlformats.org/officeDocument/2006/relationships/worksheet" Target="/xl/worksheets/sheet17.xml" Id="R5624752c52b94233" /><Relationship Type="http://schemas.openxmlformats.org/officeDocument/2006/relationships/worksheet" Target="/xl/worksheets/sheet18.xml" Id="R7b547b05b5764c29" /><Relationship Type="http://schemas.openxmlformats.org/officeDocument/2006/relationships/worksheet" Target="/xl/worksheets/sheet19.xml" Id="R6a696137d05e4bf1" /><Relationship Type="http://schemas.openxmlformats.org/officeDocument/2006/relationships/worksheet" Target="/xl/worksheets/sheet20.xml" Id="R0814a307923b4683" /><Relationship Type="http://schemas.openxmlformats.org/officeDocument/2006/relationships/worksheet" Target="/xl/worksheets/sheet21.xml" Id="Rc30669bfc9534292" /><Relationship Type="http://schemas.openxmlformats.org/officeDocument/2006/relationships/worksheet" Target="/xl/worksheets/sheet22.xml" Id="R131d187427de41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396398cd0f422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每日核心支出區間（THB／2人）</a:t>
            </a:r>
          </a:p>
        </c:rich>
      </c:tx>
    </c:title>
    <c:plotArea>
      <c:lineChart>
        <c:grouping val="standard"/>
        <c:ser>
          <c:idx val="0"/>
          <c:order val="0"/>
          <c:tx>
            <c:v>2人低THB</c:v>
          </c:tx>
          <c:marker>
            <c:symbol val="none"/>
          </c:marker>
          <c:cat>
            <c:strRef>
              <c:f>'12預算中心'!$A$12:$A$22</c:f>
              <c:strCache>
                <c:ptCount val="0"/>
              </c:strCache>
            </c:strRef>
          </c:cat>
          <c:val>
            <c:numRef>
              <c:f>'12預算中心'!$B$12:$B$22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2人高THB</c:v>
          </c:tx>
          <c:marker>
            <c:symbol val="none"/>
          </c:marker>
          <c:cat>
            <c:strRef>
              <c:f>'12預算中心'!$A$12:$A$22</c:f>
              <c:strCache>
                <c:ptCount val="0"/>
              </c:strCache>
            </c:strRef>
          </c:cat>
          <c:val>
            <c:numRef>
              <c:f>'12預算中心'!$C$12:$C$22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17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396398cd0f422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02c0d89f9a3c4b6f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怎麼用這份Excel</x:v>
      </x:c>
      <x:c r="B1"/>
      <x:c r="C1"/>
      <x:c r="D1"/>
    </x:row>
    <x:row r="2">
      <x:c r="A2" t="str">
        <x:v>不用每天看全部工作表；照旅程階段使用即可。</x:v>
      </x:c>
      <x:c r="B2"/>
      <x:c r="C2"/>
      <x:c r="D2"/>
    </x:row>
    <x:row r="3">
      <x:c r="A3"/>
      <x:c r="B3"/>
      <x:c r="C3"/>
      <x:c r="D3"/>
    </x:row>
    <x:row r="4">
      <x:c r="A4" t="str">
        <x:v>時間</x:v>
      </x:c>
      <x:c r="B4" t="str">
        <x:v>先看哪張</x:v>
      </x:c>
      <x:c r="C4" t="str">
        <x:v>你要做什麼</x:v>
      </x:c>
      <x:c r="D4" t="str">
        <x:v>目的</x:v>
      </x:c>
    </x:row>
    <x:row r="5">
      <x:c r="A5" t="str">
        <x:v>現在～9/20</x:v>
      </x:c>
      <x:c r="B5" t="str">
        <x:v>01旅行控制台 → 02出發前必做 → 03泰國入境 → 04旅遊保險</x:v>
      </x:c>
      <x:c r="C5" t="str">
        <x:v>先把紅色事項清掉；先決定保險，再補訂單實付</x:v>
      </x:c>
      <x:c r="D5" t="str">
        <x:v>先確保能登機、能入境、重大風險有保障</x:v>
      </x:c>
    </x:row>
    <x:row r="6">
      <x:c r="A6" t="str">
        <x:v>9/21</x:v>
      </x:c>
      <x:c r="B6" t="str">
        <x:v>03泰國入境</x:v>
      </x:c>
      <x:c r="C6" t="str">
        <x:v>填兩人TDAC、準備40,000THB家庭財力等值、離線文件</x:v>
      </x:c>
      <x:c r="D6" t="str">
        <x:v>完成入境資格準備</x:v>
      </x:c>
    </x:row>
    <x:row r="7">
      <x:c r="A7" t="str">
        <x:v>9/22</x:v>
      </x:c>
      <x:c r="B7" t="str">
        <x:v>07行李航空 → 08eSIM網路</x:v>
      </x:c>
      <x:c r="C7" t="str">
        <x:v>打包一晚包、行動電源、安裝eSIM</x:v>
      </x:c>
      <x:c r="D7" t="str">
        <x:v>避免機場/網路問題</x:v>
      </x:c>
    </x:row>
    <x:row r="8">
      <x:c r="A8" t="str">
        <x:v>旅行每天早上</x:v>
      </x:c>
      <x:c r="B8" t="str">
        <x:v>09每日總覽 → 10行程明細 → 11雨天備案</x:v>
      </x:c>
      <x:c r="C8" t="str">
        <x:v>先看A計畫；雨大換B；累了用C</x:v>
      </x:c>
      <x:c r="D8" t="str">
        <x:v>不硬塞、不因下雨整天報廢</x:v>
      </x:c>
    </x:row>
    <x:row r="9">
      <x:c r="A9" t="str">
        <x:v>想看費用</x:v>
      </x:c>
      <x:c r="B9" t="str">
        <x:v>12預算中心 → 13訂單付款 → 14交通換錢</x:v>
      </x:c>
      <x:c r="C9" t="str">
        <x:v>看每日成本、補實付、準備現金</x:v>
      </x:c>
      <x:c r="D9" t="str">
        <x:v>控制總支出與現金流</x:v>
      </x:c>
    </x:row>
    <x:row r="10">
      <x:c r="A10" t="str">
        <x:v>臨時有空/店休</x:v>
      </x:c>
      <x:c r="B10" t="str">
        <x:v>17吃喝按摩購物 → 18住宿備選 → 19備用景點</x:v>
      </x:c>
      <x:c r="C10" t="str">
        <x:v>挑順路的備選，不必全部完成</x:v>
      </x:c>
      <x:c r="D10" t="str">
        <x:v>增加選擇而不是增加壓力</x:v>
      </x:c>
    </x:row>
    <x:row r="11">
      <x:c r="A11" t="str">
        <x:v>10/2–10/3</x:v>
      </x:c>
      <x:c r="B11" t="str">
        <x:v>20回台退稅</x:v>
      </x:c>
      <x:c r="C11" t="str">
        <x:v>整理退稅、行動電源、肉品水果等</x:v>
      </x:c>
      <x:c r="D11" t="str">
        <x:v>安全回台</x:v>
      </x:c>
    </x:row>
    <x:row r="12">
      <x:c r="A12" t="str">
        <x:v>規則/價格有變</x:v>
      </x:c>
      <x:c r="B12" t="str">
        <x:v>21來源與變動</x:v>
      </x:c>
      <x:c r="C12" t="str">
        <x:v>點官方來源重查</x:v>
      </x:c>
      <x:c r="D12" t="str">
        <x:v>避免舊資訊</x:v>
      </x:c>
    </x:row>
    <x:row r="13">
      <x:c r="A13" t="str">
        <x:v>投保/確認保險</x:v>
      </x:c>
      <x:c r="B13" t="str">
        <x:v>04旅遊保險 → 05保險公司比較 → 06保險理賠文件</x:v>
      </x:c>
      <x:c r="C13" t="str">
        <x:v>先看需要哪些保障，再比較台灣保險公司與理賠文件</x:v>
      </x:c>
      <x:c r="D13" t="str">
        <x:v>避免買到有旅平險、但真正風險沒保障</x:v>
      </x:c>
    </x:row>
    <x:row r="14">
      <x:c r="A14" t="str">
        <x:v>投保完成後</x:v>
      </x:c>
      <x:c r="B14" t="str">
        <x:v>13訂單付款 → 04旅遊保險</x:v>
      </x:c>
      <x:c r="C14" t="str">
        <x:v>把兩人實際保費、保單號碼、急難電話補齊</x:v>
      </x:c>
      <x:c r="D14" t="str">
        <x:v>讓預算與緊急資料完整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清邁 11 天 10 夜｜2 人旅行控制台</x:v>
      </x:c>
      <x:c r="B1"/>
      <x:c r="C1"/>
      <x:c r="D1"/>
      <x:c r="E1"/>
      <x:c r="F1"/>
      <x:c r="G1"/>
      <x:c r="H1"/>
      <x:c r="I1"/>
      <x:c r="J1"/>
      <x:c r="K1"/>
      <x:c r="L1"/>
      <x:c r="M1"/>
    </x:row>
    <x:row r="2">
      <x:c r="A2" t="str">
        <x:v>2026/09/23–10/03｜BR257 去程｜JX752 回程｜先把紅色項目清掉，再看景點。</x:v>
      </x:c>
      <x:c r="B2"/>
      <x:c r="C2"/>
      <x:c r="D2"/>
      <x:c r="E2"/>
      <x:c r="F2"/>
      <x:c r="G2"/>
      <x:c r="H2"/>
      <x:c r="I2"/>
      <x:c r="J2"/>
      <x:c r="K2"/>
      <x:c r="L2" t="str">
        <x:v>旅程摘要</x:v>
      </x:c>
      <x:c r="M2"/>
    </x:row>
    <x:row r="3">
      <x:c r="A3"/>
      <x:c r="B3"/>
      <x:c r="C3"/>
      <x:c r="D3"/>
      <x:c r="E3"/>
      <x:c r="F3"/>
      <x:c r="G3"/>
      <x:c r="H3"/>
      <x:c r="I3"/>
      <x:c r="J3"/>
      <x:c r="K3"/>
      <x:c r="L3" t="str">
        <x:v>旅客</x:v>
      </x:c>
      <x:c r="M3" t="str">
        <x:v>2 人</x:v>
      </x:c>
    </x:row>
    <x:row r="4">
      <x:c r="A4" t="str">
        <x:v>風險</x:v>
      </x:c>
      <x:c r="B4" t="str">
        <x:v>必做事項</x:v>
      </x:c>
      <x:c r="C4" t="str">
        <x:v>期限</x:v>
      </x:c>
      <x:c r="D4" t="str">
        <x:v>狀態</x:v>
      </x:c>
      <x:c r="E4" t="str">
        <x:v>不完成的後果</x:v>
      </x:c>
      <x:c r="F4" t="str">
        <x:v>2 人準備標準</x:v>
      </x:c>
      <x:c r="G4" t="str">
        <x:v>快速結論</x:v>
      </x:c>
      <x:c r="H4" t="str">
        <x:v>來源</x:v>
      </x:c>
      <x:c r="I4" t="str">
        <x:v>最後查核</x:v>
      </x:c>
      <x:c r="J4" t="str">
        <x:v>備註</x:v>
      </x:c>
      <x:c r="K4"/>
      <x:c r="L4" t="str">
        <x:v>日期</x:v>
      </x:c>
      <x:c r="M4" t="str">
        <x:v>9/23–10/3</x:v>
      </x:c>
    </x:row>
    <x:row r="5">
      <x:c r="A5" t="str">
        <x:v>最高</x:v>
      </x:c>
      <x:c r="B5" t="str">
        <x:v>護照效期與完整性</x:v>
      </x:c>
      <x:c r="C5" t="str">
        <x:v>現在</x:v>
      </x:c>
      <x:c r="D5" t="str">
        <x:v>待完成</x:v>
      </x:c>
      <x:c r="E5" t="str">
        <x:v>可能無法登機/入境</x:v>
      </x:c>
      <x:c r="F5" t="str">
        <x:v>2 本護照；建議返程時仍至少 6 個月效期</x:v>
      </x:c>
      <x:c r="G5" t="str">
        <x:v>先確認效期與破損</x:v>
      </x:c>
      <x:c r="H5" t="str">
        <x:v>https://washingtondc.thaiembassy.org/en/page/visaexempt-voajul2024?form=MG0AV3</x:v>
      </x:c>
      <x:c r="I5" t="str">
        <x:v>2026/09/13</x:v>
      </x:c>
      <x:c r="J5" t="str">
        <x:v>正本隨身；影本分開</x:v>
      </x:c>
      <x:c r="K5"/>
      <x:c r="L5" t="str">
        <x:v>天數</x:v>
      </x:c>
      <x:c r="M5" t="str">
        <x:v>11 天 10 夜</x:v>
      </x:c>
    </x:row>
    <x:row r="6">
      <x:c r="A6" t="str">
        <x:v>最高</x:v>
      </x:c>
      <x:c r="B6" t="str">
        <x:v>TDAC</x:v>
      </x:c>
      <x:c r="C6" t="str">
        <x:v>9/21–9/23</x:v>
      </x:c>
      <x:c r="D6" t="str">
        <x:v>待完成</x:v>
      </x:c>
      <x:c r="E6" t="str">
        <x:v>入境程序受阻</x:v>
      </x:c>
      <x:c r="F6" t="str">
        <x:v>兩人皆需；可同一群組提交</x:v>
      </x:c>
      <x:c r="G6" t="str">
        <x:v>9/21 起填，離線存 QR/PDF</x:v>
      </x:c>
      <x:c r="H6" t="str">
        <x:v>https://tdac.immigration.go.th/manual/en/faq.html</x:v>
      </x:c>
      <x:c r="I6" t="str">
        <x:v>2026/09/13</x:v>
      </x:c>
      <x:c r="J6" t="str">
        <x:v>資料用英文；系統不主動提醒</x:v>
      </x:c>
      <x:c r="K6"/>
      <x:c r="L6" t="str">
        <x:v>住宿</x:v>
      </x:c>
      <x:c r="M6" t="str">
        <x:v>Chai Lai 1＋Himku 9</x:v>
      </x:c>
    </x:row>
    <x:row r="7">
      <x:c r="A7" t="str">
        <x:v>最高</x:v>
      </x:c>
      <x:c r="B7" t="str">
        <x:v>免簽財力證明</x:v>
      </x:c>
      <x:c r="C7" t="str">
        <x:v>出發前</x:v>
      </x:c>
      <x:c r="D7" t="str">
        <x:v>待完成</x:v>
      </x:c>
      <x:c r="E7" t="str">
        <x:v>移民官有權拒絕入境</x:v>
      </x:c>
      <x:c r="F7" t="str">
        <x:v>20,000 THB/人；40,000 THB/家庭，cash or equivalent</x:v>
      </x:c>
      <x:c r="G7" t="str">
        <x:v>兩人合計至少 40,000 THB 等值可立即出示最穩妥</x:v>
      </x:c>
      <x:c r="H7" t="str">
        <x:v>https://washingtondc.thaiembassy.org/en/page/visaexempt-voajul2024?form=MG0AV3</x:v>
      </x:c>
      <x:c r="I7" t="str">
        <x:v>2026/09/13</x:v>
      </x:c>
      <x:c r="J7" t="str">
        <x:v>不是旅行支出；勿只依賴信用卡</x:v>
      </x:c>
      <x:c r="K7"/>
      <x:c r="L7" t="str">
        <x:v>去程</x:v>
      </x:c>
      <x:c r="M7" t="str">
        <x:v>BR257 07:40→10:25</x:v>
      </x:c>
    </x:row>
    <x:row r="8">
      <x:c r="A8" t="str">
        <x:v>最高</x:v>
      </x:c>
      <x:c r="B8" t="str">
        <x:v>回程票＋住宿證明</x:v>
      </x:c>
      <x:c r="C8" t="str">
        <x:v>出發前</x:v>
      </x:c>
      <x:c r="D8" t="str">
        <x:v>待完成</x:v>
      </x:c>
      <x:c r="E8" t="str">
        <x:v>可能需補充旅遊目的</x:v>
      </x:c>
      <x:c r="F8" t="str">
        <x:v>JX752＋Chai Lai＋Himku 訂房</x:v>
      </x:c>
      <x:c r="G8" t="str">
        <x:v>離線 PDF/截圖</x:v>
      </x:c>
      <x:c r="H8" t="str">
        <x:v>https://consular.mfa.go.th/th/content/1-9-69-00</x:v>
      </x:c>
      <x:c r="I8" t="str">
        <x:v>2026/09/13</x:v>
      </x:c>
      <x:c r="J8" t="str">
        <x:v>第一晚地址用於 TDAC</x:v>
      </x:c>
      <x:c r="K8"/>
      <x:c r="L8" t="str">
        <x:v>回程</x:v>
      </x:c>
      <x:c r="M8" t="str">
        <x:v>JX752 17:20→22:15</x:v>
      </x:c>
    </x:row>
    <x:row r="9">
      <x:c r="A9" t="str">
        <x:v>最高</x:v>
      </x:c>
      <x:c r="B9" t="str">
        <x:v>受管制藥品檢查</x:v>
      </x:c>
      <x:c r="C9" t="str">
        <x:v>現在</x:v>
      </x:c>
      <x:c r="D9" t="str">
        <x:v>待完成</x:v>
      </x:c>
      <x:c r="E9" t="str">
        <x:v>藥物可能遭扣留/違法</x:v>
      </x:c>
      <x:c r="F9" t="str">
        <x:v>逐一以英文成分查 Thai FDA</x:v>
      </x:c>
      <x:c r="G9" t="str">
        <x:v>安眠/鎮靜/強效止痛/精神科藥先查</x:v>
      </x:c>
      <x:c r="H9" t="str">
        <x:v>https://permitfortraveler.fda.moph.go.th/nct_permit_main/Main/FRM_checkdrug_index</x:v>
      </x:c>
      <x:c r="I9" t="str">
        <x:v>2026/09/13</x:v>
      </x:c>
      <x:c r="J9" t="str">
        <x:v>部分需至少 15 天前申請許可</x:v>
      </x:c>
      <x:c r="K9"/>
      <x:c r="L9" t="str">
        <x:v>待完成高風險</x:v>
      </x:c>
      <x:c r="M9" t="n">
        <x:f>COUNTIF(D5:D15,"待完成")</x:f>
        <x:v>11</x:v>
      </x:c>
    </x:row>
    <x:row r="10">
      <x:c r="A10" t="str">
        <x:v>最高</x:v>
      </x:c>
      <x:c r="B10" t="str">
        <x:v>電子菸/煙油不要帶</x:v>
      </x:c>
      <x:c r="C10" t="str">
        <x:v>打包前</x:v>
      </x:c>
      <x:c r="D10" t="str">
        <x:v>待完成</x:v>
      </x:c>
      <x:c r="E10" t="str">
        <x:v>泰國及返台均有法規風險</x:v>
      </x:c>
      <x:c r="F10" t="str">
        <x:v>兩人皆不要攜帶</x:v>
      </x:c>
      <x:c r="G10" t="str">
        <x:v>直接從行李清單排除</x:v>
      </x:c>
      <x:c r="H10" t="str">
        <x:v>https://www.touristpolice.go.th/en/main</x:v>
      </x:c>
      <x:c r="I10" t="str">
        <x:v>2026/09/13</x:v>
      </x:c>
      <x:c r="J10" t="str">
        <x:v>含裝置與耗材</x:v>
      </x:c>
      <x:c r="K10"/>
      <x:c r="L10" t="str">
        <x:v>核心預算</x:v>
      </x:c>
      <x:c r="M10" t="str">
        <x:v>見12預算中心</x:v>
      </x:c>
    </x:row>
    <x:row r="11">
      <x:c r="A11" t="str">
        <x:v>最高</x:v>
      </x:c>
      <x:c r="B11" t="str">
        <x:v>行動電源規則</x:v>
      </x:c>
      <x:c r="C11" t="str">
        <x:v>9/22</x:v>
      </x:c>
      <x:c r="D11" t="str">
        <x:v>待完成</x:v>
      </x:c>
      <x:c r="E11" t="str">
        <x:v>安檢/登機受阻</x:v>
      </x:c>
      <x:c r="F11" t="str">
        <x:v>每人最多2個；手提；JX每個≤100Wh</x:v>
      </x:c>
      <x:c r="G11" t="str">
        <x:v>機上不使用/充電，不放頭頂行李櫃</x:v>
      </x:c>
      <x:c r="H11" t="str">
        <x:v>https://www.evaair.com/th-th/about-eva-air/news/travel-news/2026-03-30-the-new-specifications-for-carrying-power-banks-in-carry-on-baggage.html</x:v>
      </x:c>
      <x:c r="I11" t="str">
        <x:v>2026/09/13</x:v>
      </x:c>
      <x:c r="J11" t="str">
        <x:v>容量標示清楚</x:v>
      </x:c>
      <x:c r="K11"/>
      <x:c r="L11"/>
      <x:c r="M11"/>
    </x:row>
    <x:row r="12">
      <x:c r="A12" t="str">
        <x:v>高</x:v>
      </x:c>
      <x:c r="B12" t="str">
        <x:v>Himku 提前代收行李</x:v>
      </x:c>
      <x:c r="C12" t="str">
        <x:v>9/18前</x:v>
      </x:c>
      <x:c r="D12" t="str">
        <x:v>待完成</x:v>
      </x:c>
      <x:c r="E12" t="str">
        <x:v>9/23行李寄送可能失敗</x:v>
      </x:c>
      <x:c r="F12" t="str">
        <x:v>確認2件、訂房姓名、地址</x:v>
      </x:c>
      <x:c r="G12" t="str">
        <x:v>取得飯店文字確認</x:v>
      </x:c>
      <x:c r="H12" t="str">
        <x:v>https://www.airportels.asia/branch/luggage-service-chiang-mai-airport/</x:v>
      </x:c>
      <x:c r="I12" t="str">
        <x:v>2026/09/13</x:v>
      </x:c>
      <x:c r="J12" t="str">
        <x:v>寄送收據留到取回</x:v>
      </x:c>
      <x:c r="K12"/>
      <x:c r="L12" t="str">
        <x:v>閱讀順序</x:v>
      </x:c>
      <x:c r="M12"/>
    </x:row>
    <x:row r="13">
      <x:c r="A13" t="str">
        <x:v>高</x:v>
      </x:c>
      <x:c r="B13" t="str">
        <x:v>9/24 Chai Lai→Kerchor 雙條車</x:v>
      </x:c>
      <x:c r="C13" t="str">
        <x:v>9/23晚</x:v>
      </x:c>
      <x:c r="D13" t="str">
        <x:v>待完成</x:v>
      </x:c>
      <x:c r="E13" t="str">
        <x:v>可能錯過集合</x:v>
      </x:c>
      <x:c r="F13" t="str">
        <x:v>請 Chai Lai 櫃台代叫；給 KKday 最終定位</x:v>
      </x:c>
      <x:c r="G13" t="str">
        <x:v>前一晚定車＋出發時間</x:v>
      </x:c>
      <x:c r="H13" t="str">
        <x:v>https://www.kkday.com/zh-tw/product/25082-kerchor-elephant-eco-park-half-day-tour-chiang-mai-thailand</x:v>
      </x:c>
      <x:c r="I13" t="str">
        <x:v>2026/09/13</x:v>
      </x:c>
      <x:c r="J13" t="str">
        <x:v>去程不依賴Kerchor市區接送</x:v>
      </x:c>
      <x:c r="K13"/>
      <x:c r="L13" t="str">
        <x:v>出發前</x:v>
      </x:c>
      <x:c r="M13" t="str">
        <x:v>00→01→02→03→04→05→06→07→08</x:v>
      </x:c>
    </x:row>
    <x:row r="14">
      <x:c r="A14" t="str">
        <x:v>高</x:v>
      </x:c>
      <x:c r="B14" t="str">
        <x:v>eSIM 10日 vs 11日旅程</x:v>
      </x:c>
      <x:c r="C14" t="str">
        <x:v>9/22</x:v>
      </x:c>
      <x:c r="D14" t="str">
        <x:v>待完成</x:v>
      </x:c>
      <x:c r="E14" t="str">
        <x:v>10/3上午後可能斷網</x:v>
      </x:c>
      <x:c r="F14" t="str">
        <x:v>兩人各1張AIS＋最後一天備援</x:v>
      </x:c>
      <x:c r="G14" t="str">
        <x:v>飯店/CNX Wi-Fi＋台灣門號日漫遊或短期備援</x:v>
      </x:c>
      <x:c r="H14" t="str">
        <x:v>https://www.kkday.com/zh-tw/product/156018</x:v>
      </x:c>
      <x:c r="I14" t="str">
        <x:v>2026/09/13</x:v>
      </x:c>
      <x:c r="J14" t="str">
        <x:v>回程叫車/登機證需網路</x:v>
      </x:c>
      <x:c r="K14"/>
      <x:c r="L14" t="str">
        <x:v>每天</x:v>
      </x:c>
      <x:c r="M14" t="str">
        <x:v>09→10→11</x:v>
      </x:c>
    </x:row>
    <x:row r="15">
      <x:c r="A15" t="str">
        <x:v>最高</x:v>
      </x:c>
      <x:c r="B15" t="str">
        <x:v>旅遊保險：先看04旅遊保險，再比05保險公司比較、06保險理賠文件</x:v>
      </x:c>
      <x:c r="C15" t="str">
        <x:v>越早越好</x:v>
      </x:c>
      <x:c r="D15" t="str">
        <x:v>待完成</x:v>
      </x:c>
      <x:c r="E15" t="str">
        <x:v>海外醫療/活動事故/天候延誤風險無保障或保障不足</x:v>
      </x:c>
      <x:c r="F15" t="str">
        <x:v>兩人各自用實際9/23出門～10/3返家時間試算；確認Skyline/Kerchor活動承保</x:v>
      </x:c>
      <x:c r="G15" t="str">
        <x:v>10日只作比較；正式保期不可少保回程時段</x:v>
      </x:c>
      <x:c r="H15" t="str">
        <x:v>https://www.fsc.gov.tw/ch/home.jsp?dataserno=202411210002&amp;dtable=News&amp;id=96&amp;mcustomize=news_view.jsp&amp;parentpath=0</x:v>
      </x:c>
      <x:c r="I15" t="str">
        <x:v>2026/09/13</x:v>
      </x:c>
      <x:c r="J15" t="str">
        <x:v>選定後把實際保費填13訂單付款，保單資料填04旅遊保險</x:v>
      </x:c>
      <x:c r="K15"/>
      <x:c r="L15" t="str">
        <x:v>花費</x:v>
      </x:c>
      <x:c r="M15" t="str">
        <x:v>12→13→14</x:v>
      </x:c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 t="str">
        <x:v>備選</x:v>
      </x:c>
      <x:c r="M16" t="str">
        <x:v>17→18→19</x:v>
      </x:c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 t="str">
        <x:v>回程</x:v>
      </x:c>
      <x:c r="M17" t="str">
        <x:v>20</x:v>
      </x:c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 t="str">
        <x:v>來源</x:v>
      </x:c>
      <x:c r="M18" t="str">
        <x:v>21</x:v>
      </x:c>
    </x:row>
  </x:sheetData>
  <x:mergeCells>
    <x:mergeCell ref="A1:J1"/>
    <x:mergeCell ref="A2:J2"/>
    <x:mergeCell ref="L2:M2"/>
    <x:mergeCell ref="L12:M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出發前任務清單｜照日期勾完</x:v>
      </x:c>
      <x:c r="B1"/>
      <x:c r="C1"/>
      <x:c r="D1"/>
      <x:c r="E1"/>
      <x:c r="F1"/>
      <x:c r="G1"/>
      <x:c r="H1"/>
      <x:c r="I1"/>
    </x:row>
    <x:row r="2">
      <x:c r="A2" t="str">
        <x:v>紅色＝可能影響登機/入境；橘色＝直接影響既定接駁/活動。</x:v>
      </x:c>
      <x:c r="B2"/>
      <x:c r="C2"/>
      <x:c r="D2"/>
      <x:c r="E2"/>
      <x:c r="F2"/>
      <x:c r="G2"/>
      <x:c r="H2"/>
      <x:c r="I2"/>
    </x:row>
    <x:row r="3">
      <x:c r="A3"/>
      <x:c r="B3"/>
      <x:c r="C3"/>
      <x:c r="D3"/>
      <x:c r="E3"/>
      <x:c r="F3"/>
      <x:c r="G3"/>
      <x:c r="H3"/>
      <x:c r="I3"/>
    </x:row>
    <x:row r="4">
      <x:c r="A4" t="str">
        <x:v>建議完成日</x:v>
      </x:c>
      <x:c r="B4" t="str">
        <x:v>優先</x:v>
      </x:c>
      <x:c r="C4" t="str">
        <x:v>類別</x:v>
      </x:c>
      <x:c r="D4" t="str">
        <x:v>任務</x:v>
      </x:c>
      <x:c r="E4" t="str">
        <x:v>2 人要準備</x:v>
      </x:c>
      <x:c r="F4" t="str">
        <x:v>狀態</x:v>
      </x:c>
      <x:c r="G4" t="str">
        <x:v>完成證據/放哪裡</x:v>
      </x:c>
      <x:c r="H4" t="str">
        <x:v>來源</x:v>
      </x:c>
      <x:c r="I4" t="str">
        <x:v>補充</x:v>
      </x:c>
    </x:row>
    <x:row r="5">
      <x:c r="A5" t="n">
        <x:v>46278</x:v>
      </x:c>
      <x:c r="B5" t="str">
        <x:v>最高</x:v>
      </x:c>
      <x:c r="C5" t="str">
        <x:v>證件</x:v>
      </x:c>
      <x:c r="D5" t="str">
        <x:v>確認2本護照效期、資料頁與外觀</x:v>
      </x:c>
      <x:c r="E5" t="str">
        <x:v>返程時建議仍至少6個月</x:v>
      </x:c>
      <x:c r="F5" t="str">
        <x:v>待完成</x:v>
      </x:c>
      <x:c r="G5" t="str">
        <x:v>護照＋離線影本</x:v>
      </x:c>
      <x:c r="H5" t="str">
        <x:v>https://washingtondc.thaiembassy.org/en/page/visaexempt-voajul2024?form=MG0AV3</x:v>
      </x:c>
      <x:c r="I5" t="str">
        <x:v>破損先處理</x:v>
      </x:c>
    </x:row>
    <x:row r="6">
      <x:c r="A6" t="n">
        <x:v>46278</x:v>
      </x:c>
      <x:c r="B6" t="str">
        <x:v>最高</x:v>
      </x:c>
      <x:c r="C6" t="str">
        <x:v>藥品</x:v>
      </x:c>
      <x:c r="D6" t="str">
        <x:v>把常用/處方藥用英文成分查Thai FDA</x:v>
      </x:c>
      <x:c r="E6" t="str">
        <x:v>兩人藥品清單</x:v>
      </x:c>
      <x:c r="F6" t="str">
        <x:v>待完成</x:v>
      </x:c>
      <x:c r="G6" t="str">
        <x:v>查詢截圖＋處方</x:v>
      </x:c>
      <x:c r="H6" t="str">
        <x:v>https://permitfortraveler.fda.moph.go.th/nct_permit_main/Main/FRM_checkdrug_index</x:v>
      </x:c>
      <x:c r="I6" t="str">
        <x:v>需許可者至少提前15天</x:v>
      </x:c>
    </x:row>
    <x:row r="7">
      <x:c r="A7" t="n">
        <x:v>46278</x:v>
      </x:c>
      <x:c r="B7" t="str">
        <x:v>高</x:v>
      </x:c>
      <x:c r="C7" t="str">
        <x:v>保險</x:v>
      </x:c>
      <x:c r="D7" t="str">
        <x:v>確認旅平險/海外醫療/不便險</x:v>
      </x:c>
      <x:c r="E7" t="str">
        <x:v>保單＋海外急難電話</x:v>
      </x:c>
      <x:c r="F7" t="str">
        <x:v>待完成</x:v>
      </x:c>
      <x:c r="G7" t="str">
        <x:v>PDF離線</x:v>
      </x:c>
      <x:c r="H7" t="str">
        <x:v>保險公司</x:v>
      </x:c>
      <x:c r="I7" t="str">
        <x:v>看戶外活動排除條款</x:v>
      </x:c>
    </x:row>
    <x:row r="8">
      <x:c r="A8" t="n">
        <x:v>46283</x:v>
      </x:c>
      <x:c r="B8" t="str">
        <x:v>最高</x:v>
      </x:c>
      <x:c r="C8" t="str">
        <x:v>住宿/行李</x:v>
      </x:c>
      <x:c r="D8" t="str">
        <x:v>請Himku確認9/23可提前代收行李</x:v>
      </x:c>
      <x:c r="E8" t="str">
        <x:v>訂房姓名、地址、電話、2件</x:v>
      </x:c>
      <x:c r="F8" t="str">
        <x:v>待完成</x:v>
      </x:c>
      <x:c r="G8" t="str">
        <x:v>飯店文字回覆</x:v>
      </x:c>
      <x:c r="H8" t="str">
        <x:v>https://www.airportels.asia/branch/luggage-service-chiang-mai-airport/</x:v>
      </x:c>
      <x:c r="I8" t="str">
        <x:v>姓名與寄送單一致</x:v>
      </x:c>
    </x:row>
    <x:row r="9">
      <x:c r="A9" t="n">
        <x:v>46283</x:v>
      </x:c>
      <x:c r="B9" t="str">
        <x:v>高</x:v>
      </x:c>
      <x:c r="C9" t="str">
        <x:v>接駁</x:v>
      </x:c>
      <x:c r="D9" t="str">
        <x:v>確認Chai Lai 9/23接駁時間/集合點</x:v>
      </x:c>
      <x:c r="E9" t="str">
        <x:v>2人＋一晚包</x:v>
      </x:c>
      <x:c r="F9" t="str">
        <x:v>待完成</x:v>
      </x:c>
      <x:c r="G9" t="str">
        <x:v>飯店訊息</x:v>
      </x:c>
      <x:c r="H9" t="str">
        <x:v>https://chailaiorchid.com/location/</x:v>
      </x:c>
      <x:c r="I9" t="str">
        <x:v>Central不影響接駁</x:v>
      </x:c>
    </x:row>
    <x:row r="10">
      <x:c r="A10" t="n">
        <x:v>46283</x:v>
      </x:c>
      <x:c r="B10" t="str">
        <x:v>高</x:v>
      </x:c>
      <x:c r="C10" t="str">
        <x:v>活動</x:v>
      </x:c>
      <x:c r="D10" t="str">
        <x:v>確認Kerchor一日遊、集合時間、回程市區接駁</x:v>
      </x:c>
      <x:c r="E10" t="str">
        <x:v>2人KKday訂單</x:v>
      </x:c>
      <x:c r="F10" t="str">
        <x:v>待完成</x:v>
      </x:c>
      <x:c r="G10" t="str">
        <x:v>電子憑證</x:v>
      </x:c>
      <x:c r="H10" t="str">
        <x:v>https://www.kkday.com/zh-tw/product/25082-kerchor-elephant-eco-park-half-day-tour-chiang-mai-thailand</x:v>
      </x:c>
      <x:c r="I10" t="str">
        <x:v>去程自行雙條車</x:v>
      </x:c>
    </x:row>
    <x:row r="11">
      <x:c r="A11" t="n">
        <x:v>46283</x:v>
      </x:c>
      <x:c r="B11" t="str">
        <x:v>高</x:v>
      </x:c>
      <x:c r="C11" t="str">
        <x:v>活動</x:v>
      </x:c>
      <x:c r="D11" t="str">
        <x:v>確認Skyline方案/接送/限制</x:v>
      </x:c>
      <x:c r="E11" t="str">
        <x:v>2人憑證</x:v>
      </x:c>
      <x:c r="F11" t="str">
        <x:v>待完成</x:v>
      </x:c>
      <x:c r="G11" t="str">
        <x:v>電子憑證</x:v>
      </x:c>
      <x:c r="H11" t="str">
        <x:v>https://skylinejungleluge.com/packages/extreme/</x:v>
      </x:c>
      <x:c r="I11" t="str">
        <x:v>體重/健康先確認</x:v>
      </x:c>
    </x:row>
    <x:row r="12">
      <x:c r="A12" t="n">
        <x:v>46285</x:v>
      </x:c>
      <x:c r="B12" t="str">
        <x:v>中</x:v>
      </x:c>
      <x:c r="C12" t="str">
        <x:v>天氣</x:v>
      </x:c>
      <x:c r="D12" t="str">
        <x:v>開始看短期天氣</x:v>
      </x:c>
      <x:c r="E12" t="str">
        <x:v>9/24–9/27戶外日特別看</x:v>
      </x:c>
      <x:c r="F12" t="str">
        <x:v>待完成</x:v>
      </x:c>
      <x:c r="G12" t="str">
        <x:v>天氣截圖</x:v>
      </x:c>
      <x:c r="H12" t="str">
        <x:v>https://tmd.go.th/forecast/monthly/092026</x:v>
      </x:c>
      <x:c r="I12" t="str">
        <x:v>長期預報只看趨勢</x:v>
      </x:c>
    </x:row>
    <x:row r="13">
      <x:c r="A13" t="n">
        <x:v>46286</x:v>
      </x:c>
      <x:c r="B13" t="str">
        <x:v>最高</x:v>
      </x:c>
      <x:c r="C13" t="str">
        <x:v>入境</x:v>
      </x:c>
      <x:c r="D13" t="str">
        <x:v>完成2人TDAC</x:v>
      </x:c>
      <x:c r="E13" t="str">
        <x:v>護照、BR257、Chai Lai地址、Email</x:v>
      </x:c>
      <x:c r="F13" t="str">
        <x:v>待完成</x:v>
      </x:c>
      <x:c r="G13" t="str">
        <x:v>QR/PDF離線</x:v>
      </x:c>
      <x:c r="H13" t="str">
        <x:v>https://tdac.immigration.go.th/manual/en/faq.html</x:v>
      </x:c>
      <x:c r="I13" t="str">
        <x:v>9/21起可填</x:v>
      </x:c>
    </x:row>
    <x:row r="14">
      <x:c r="A14" t="n">
        <x:v>46286</x:v>
      </x:c>
      <x:c r="B14" t="str">
        <x:v>最高</x:v>
      </x:c>
      <x:c r="C14" t="str">
        <x:v>入境</x:v>
      </x:c>
      <x:c r="D14" t="str">
        <x:v>準備財力證明</x:v>
      </x:c>
      <x:c r="E14" t="str">
        <x:v>合計至少40,000 THB等值可立即出示</x:v>
      </x:c>
      <x:c r="F14" t="str">
        <x:v>待完成</x:v>
      </x:c>
      <x:c r="G14" t="str">
        <x:v>分散保管</x:v>
      </x:c>
      <x:c r="H14" t="str">
        <x:v>https://washingtondc.thaiembassy.org/en/page/visaexempt-voajul2024?form=MG0AV3</x:v>
      </x:c>
      <x:c r="I14" t="str">
        <x:v>勿只靠信用卡</x:v>
      </x:c>
    </x:row>
    <x:row r="15">
      <x:c r="A15" t="n">
        <x:v>46287</x:v>
      </x:c>
      <x:c r="B15" t="str">
        <x:v>高</x:v>
      </x:c>
      <x:c r="C15" t="str">
        <x:v>eSIM</x:v>
      </x:c>
      <x:c r="D15" t="str">
        <x:v>兩人AIS eSIM實名＋安裝</x:v>
      </x:c>
      <x:c r="E15" t="str">
        <x:v>護照、QR、相容手機</x:v>
      </x:c>
      <x:c r="F15" t="str">
        <x:v>待完成</x:v>
      </x:c>
      <x:c r="G15" t="str">
        <x:v>QR/ICCID截圖</x:v>
      </x:c>
      <x:c r="H15" t="str">
        <x:v>https://www.kkday.com/zh-tw/product/156018</x:v>
      </x:c>
      <x:c r="I15" t="str">
        <x:v>建議出發前24小時內</x:v>
      </x:c>
    </x:row>
    <x:row r="16">
      <x:c r="A16" t="n">
        <x:v>46287</x:v>
      </x:c>
      <x:c r="B16" t="str">
        <x:v>最高</x:v>
      </x:c>
      <x:c r="C16" t="str">
        <x:v>行李</x:v>
      </x:c>
      <x:c r="D16" t="str">
        <x:v>行動電源移入手提並確認每人≤2個</x:v>
      </x:c>
      <x:c r="E16" t="str">
        <x:v>容量標示</x:v>
      </x:c>
      <x:c r="F16" t="str">
        <x:v>待完成</x:v>
      </x:c>
      <x:c r="G16" t="str">
        <x:v>手提包</x:v>
      </x:c>
      <x:c r="H16" t="str">
        <x:v>https://www.evaair.com/th-th/about-eva-air/news/travel-news/2026-03-30-the-new-specifications-for-carrying-power-banks-in-carry-on-baggage.html</x:v>
      </x:c>
      <x:c r="I16" t="str">
        <x:v>不可託運</x:v>
      </x:c>
    </x:row>
    <x:row r="17">
      <x:c r="A17" t="n">
        <x:v>46287</x:v>
      </x:c>
      <x:c r="B17" t="str">
        <x:v>中</x:v>
      </x:c>
      <x:c r="C17" t="str">
        <x:v>航空</x:v>
      </x:c>
      <x:c r="D17" t="str">
        <x:v>BR257線上報到（若開放）</x:v>
      </x:c>
      <x:c r="E17" t="str">
        <x:v>護照、訂位代碼</x:v>
      </x:c>
      <x:c r="F17" t="str">
        <x:v>待完成</x:v>
      </x:c>
      <x:c r="G17" t="str">
        <x:v>電子登機證</x:v>
      </x:c>
      <x:c r="H17" t="str">
        <x:v>https://www.evaair.com/en-global/fly-prepare/at-the-airport/check-in/online-check-in/</x:v>
      </x:c>
      <x:c r="I17" t="str">
        <x:v>通常48h至1h前</x:v>
      </x:c>
    </x:row>
    <x:row r="18">
      <x:c r="A18" t="n">
        <x:v>46288</x:v>
      </x:c>
      <x:c r="B18" t="str">
        <x:v>最高</x:v>
      </x:c>
      <x:c r="C18" t="str">
        <x:v>接駁</x:v>
      </x:c>
      <x:c r="D18" t="str">
        <x:v>Chai Lai睡前請櫃台代叫9/24雙條車</x:v>
      </x:c>
      <x:c r="E18" t="str">
        <x:v>KKday定位/時間</x:v>
      </x:c>
      <x:c r="F18" t="str">
        <x:v>待完成</x:v>
      </x:c>
      <x:c r="G18" t="str">
        <x:v>櫃台確認</x:v>
      </x:c>
      <x:c r="H18" t="str">
        <x:v>—</x:v>
      </x:c>
      <x:c r="I18" t="str">
        <x:v>提早30–45分緩衝</x:v>
      </x:c>
    </x:row>
    <x:row r="19">
      <x:c r="A19" t="n">
        <x:v>46297</x:v>
      </x:c>
      <x:c r="B19" t="str">
        <x:v>高</x:v>
      </x:c>
      <x:c r="C19" t="str">
        <x:v>回台</x:v>
      </x:c>
      <x:c r="D19" t="str">
        <x:v>整理不可帶回台物品</x:v>
      </x:c>
      <x:c r="E19" t="str">
        <x:v>肉品、水果、土壤植物、電子菸</x:v>
      </x:c>
      <x:c r="F19" t="str">
        <x:v>待完成</x:v>
      </x:c>
      <x:c r="G19" t="str">
        <x:v>—</x:v>
      </x:c>
      <x:c r="H19" t="str">
        <x:v>https://www.aphia.gov.tw/ws.php?id=10726</x:v>
      </x:c>
      <x:c r="I19" t="str">
        <x:v>不確定就申報</x:v>
      </x:c>
    </x:row>
    <x:row r="20">
      <x:c r="A20" t="n">
        <x:v>46281</x:v>
      </x:c>
      <x:c r="B20" t="str">
        <x:v>最高</x:v>
      </x:c>
      <x:c r="C20" t="str">
        <x:v>保險</x:v>
      </x:c>
      <x:c r="D20" t="str">
        <x:v>完成兩人旅平險＋海外突發疾病＋不便險比較</x:v>
      </x:c>
      <x:c r="E20" t="str">
        <x:v>至少比較醫療、突發疾病、急難救援、班機延誤、旅程更改</x:v>
      </x:c>
      <x:c r="F20" t="str">
        <x:v>待完成</x:v>
      </x:c>
      <x:c r="G20" t="str">
        <x:v>保單PDF＋急難電話</x:v>
      </x:c>
      <x:c r="H20" t="str">
        <x:v>https://www.fsc.gov.tw/ch/home.jsp?dataserno=202411210002&amp;dtable=News&amp;id=96&amp;mcustomize=news_view.jsp&amp;parentpath=0</x:v>
      </x:c>
      <x:c r="I20" t="str">
        <x:v>不要只比保費與身故額度</x:v>
      </x:c>
    </x:row>
    <x:row r="21">
      <x:c r="A21" t="n">
        <x:v>46281</x:v>
      </x:c>
      <x:c r="B21" t="str">
        <x:v>最高</x:v>
      </x:c>
      <x:c r="C21" t="str">
        <x:v>保險</x:v>
      </x:c>
      <x:c r="D21" t="str">
        <x:v>向保險公司確認Skyline與Kerchor活動承保</x:v>
      </x:c>
      <x:c r="E21" t="str">
        <x:v>最好取得客服文字/Email回覆</x:v>
      </x:c>
      <x:c r="F21" t="str">
        <x:v>待完成</x:v>
      </x:c>
      <x:c r="G21" t="str">
        <x:v>截圖/Email</x:v>
      </x:c>
      <x:c r="H21" t="str">
        <x:v>https://law.fsc.gov.tw/LawContent.aspx?id=FL006850</x:v>
      </x:c>
      <x:c r="I21" t="str">
        <x:v>問清楚傷害醫療＋救援是否都適用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泰國入境｜2026/9/23適用規則</x:v>
      </x:c>
      <x:c r="B1"/>
      <x:c r="C1"/>
      <x:c r="D1"/>
      <x:c r="E1"/>
      <x:c r="F1"/>
      <x:c r="G1"/>
      <x:c r="H1"/>
    </x:row>
    <x:row r="2">
      <x:c r="A2" t="str">
        <x:v>紅色內容是旅行前一定確認；不是一般旅遊小提醒。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主題</x:v>
      </x:c>
      <x:c r="B4" t="str">
        <x:v>你們適用規則</x:v>
      </x:c>
      <x:c r="C4" t="str">
        <x:v>2人怎麼準備</x:v>
      </x:c>
      <x:c r="D4" t="str">
        <x:v>何時</x:v>
      </x:c>
      <x:c r="E4" t="str">
        <x:v>風險</x:v>
      </x:c>
      <x:c r="F4" t="str">
        <x:v>狀態</x:v>
      </x:c>
      <x:c r="G4" t="str">
        <x:v>來源</x:v>
      </x:c>
      <x:c r="H4" t="str">
        <x:v>補充</x:v>
      </x:c>
    </x:row>
    <x:row r="5">
      <x:c r="A5" t="str">
        <x:v>免簽</x:v>
      </x:c>
      <x:c r="B5" t="str">
        <x:v>2026/09/15起新版Tourist Visa Exemption：觀光最多30天</x:v>
      </x:c>
      <x:c r="C5" t="str">
        <x:v>9/23–10/3共11天</x:v>
      </x:c>
      <x:c r="D5" t="str">
        <x:v>出發前</x:v>
      </x:c>
      <x:c r="E5" t="str">
        <x:v>最高</x:v>
      </x:c>
      <x:c r="F5" t="str">
        <x:v>待完成</x:v>
      </x:c>
      <x:c r="G5" t="str">
        <x:v>https://consular.mfa.go.th/th/content/1-9-69-00</x:v>
      </x:c>
      <x:c r="H5" t="str">
        <x:v>最終仍由移民官決定</x:v>
      </x:c>
    </x:row>
    <x:row r="6">
      <x:c r="A6" t="str">
        <x:v>財力證明</x:v>
      </x:c>
      <x:c r="B6" t="str">
        <x:v>20,000 THB/人或40,000 THB/家庭，cash or equivalent</x:v>
      </x:c>
      <x:c r="C6" t="str">
        <x:v>兩人合計至少40,000 THB等值可立即出示</x:v>
      </x:c>
      <x:c r="D6" t="str">
        <x:v>出發前</x:v>
      </x:c>
      <x:c r="E6" t="str">
        <x:v>最高</x:v>
      </x:c>
      <x:c r="F6" t="str">
        <x:v>待完成</x:v>
      </x:c>
      <x:c r="G6" t="str">
        <x:v>https://washingtondc.thaiembassy.org/en/page/visaexempt-voajul2024?form=MG0AV3</x:v>
      </x:c>
      <x:c r="H6" t="str">
        <x:v>不是消費預算；勿只靠信用卡</x:v>
      </x:c>
    </x:row>
    <x:row r="7">
      <x:c r="A7" t="str">
        <x:v>TDAC</x:v>
      </x:c>
      <x:c r="B7" t="str">
        <x:v>非泰籍旅客入境前提交；抵達日前3天內含抵達日</x:v>
      </x:c>
      <x:c r="C7" t="str">
        <x:v>9/21起可一次替兩人提交，最多10人/份</x:v>
      </x:c>
      <x:c r="D7" t="str">
        <x:v>9/21–9/23</x:v>
      </x:c>
      <x:c r="E7" t="str">
        <x:v>最高</x:v>
      </x:c>
      <x:c r="F7" t="str">
        <x:v>待完成</x:v>
      </x:c>
      <x:c r="G7" t="str">
        <x:v>https://tdac.immigration.go.th/manual/en/faq.html</x:v>
      </x:c>
      <x:c r="H7" t="str">
        <x:v>需護照、航班、地址、目的、健康、Email</x:v>
      </x:c>
    </x:row>
    <x:row r="8">
      <x:c r="A8" t="str">
        <x:v>護照</x:v>
      </x:c>
      <x:c r="B8" t="str">
        <x:v>建議返程時仍至少6個月效期</x:v>
      </x:c>
      <x:c r="C8" t="str">
        <x:v>正本隨身、影本分開</x:v>
      </x:c>
      <x:c r="D8" t="str">
        <x:v>現在</x:v>
      </x:c>
      <x:c r="E8" t="str">
        <x:v>最高</x:v>
      </x:c>
      <x:c r="F8" t="str">
        <x:v>待完成</x:v>
      </x:c>
      <x:c r="G8" t="str">
        <x:v>https://washingtondc.thaiembassy.org/en/page/visaexempt-voajul2024?form=MG0AV3</x:v>
      </x:c>
      <x:c r="H8" t="str">
        <x:v>破損先處理</x:v>
      </x:c>
    </x:row>
    <x:row r="9">
      <x:c r="A9" t="str">
        <x:v>回程/住宿</x:v>
      </x:c>
      <x:c r="B9" t="str">
        <x:v>可能要求確認旅遊目的與離境安排</x:v>
      </x:c>
      <x:c r="C9" t="str">
        <x:v>JX752＋Chai Lai＋Himku離線保存</x:v>
      </x:c>
      <x:c r="D9" t="str">
        <x:v>出發前</x:v>
      </x:c>
      <x:c r="E9" t="str">
        <x:v>高</x:v>
      </x:c>
      <x:c r="F9" t="str">
        <x:v>待完成</x:v>
      </x:c>
      <x:c r="G9" t="str">
        <x:v>—</x:v>
      </x:c>
      <x:c r="H9" t="str">
        <x:v>第一晚地址用於TDAC</x:v>
      </x:c>
    </x:row>
    <x:row r="10">
      <x:c r="A10" t="str">
        <x:v>海關綠線</x:v>
      </x:c>
      <x:c r="B10" t="str">
        <x:v>合理自用個人物品合計≤20,000 THB且非禁限/食品；菸酒另限</x:v>
      </x:c>
      <x:c r="C10" t="str">
        <x:v>高價新品保留收據；有疑問申報</x:v>
      </x:c>
      <x:c r="D10" t="str">
        <x:v>入境</x:v>
      </x:c>
      <x:c r="E10" t="str">
        <x:v>高</x:v>
      </x:c>
      <x:c r="F10" t="str">
        <x:v>待完成</x:v>
      </x:c>
      <x:c r="G10" t="str">
        <x:v>https://www.customs.go.th/list_strc_simple_neted.php?lang=en</x:v>
      </x:c>
      <x:c r="H10" t="str">
        <x:v>酒≤1L；香菸≤200支等</x:v>
      </x:c>
    </x:row>
    <x:row r="11">
      <x:c r="A11" t="str">
        <x:v>電子菸</x:v>
      </x:c>
      <x:c r="B11" t="str">
        <x:v>泰國管制嚴格</x:v>
      </x:c>
      <x:c r="C11" t="str">
        <x:v>不要攜帶</x:v>
      </x:c>
      <x:c r="D11" t="str">
        <x:v>打包</x:v>
      </x:c>
      <x:c r="E11" t="str">
        <x:v>最高</x:v>
      </x:c>
      <x:c r="F11" t="str">
        <x:v>待完成</x:v>
      </x:c>
      <x:c r="G11" t="str">
        <x:v>https://www.touristpolice.go.th/en/main</x:v>
      </x:c>
      <x:c r="H11" t="str">
        <x:v>返台也不要帶</x:v>
      </x:c>
    </x:row>
    <x:row r="12">
      <x:c r="A12" t="str">
        <x:v>一般藥品</x:v>
      </x:c>
      <x:c r="B12" t="str">
        <x:v>非管制藥個人用量通常≤30天；建議處方/醫療文件</x:v>
      </x:c>
      <x:c r="C12" t="str">
        <x:v>原包裝＋英文成分</x:v>
      </x:c>
      <x:c r="D12" t="str">
        <x:v>出發前</x:v>
      </x:c>
      <x:c r="E12" t="str">
        <x:v>高</x:v>
      </x:c>
      <x:c r="F12" t="str">
        <x:v>待完成</x:v>
      </x:c>
      <x:c r="G12" t="str">
        <x:v>https://permitfortraveler.fda.moph.go.th/</x:v>
      </x:c>
      <x:c r="H12" t="str">
        <x:v>先查成分</x:v>
      </x:c>
    </x:row>
    <x:row r="13">
      <x:c r="A13" t="str">
        <x:v>精神/麻醉管制藥</x:v>
      </x:c>
      <x:c r="B13" t="str">
        <x:v>部分30天內需醫師證明；31–90天或特定narcotics需許可</x:v>
      </x:c>
      <x:c r="C13" t="str">
        <x:v>有相關用藥立即查Thai FDA</x:v>
      </x:c>
      <x:c r="D13" t="str">
        <x:v>至少15天前</x:v>
      </x:c>
      <x:c r="E13" t="str">
        <x:v>最高</x:v>
      </x:c>
      <x:c r="F13" t="str">
        <x:v>待完成</x:v>
      </x:c>
      <x:c r="G13" t="str">
        <x:v>https://permitfortraveler.fda.moph.go.th/nct_permit_main/Main/FRM_checkdrug_index</x:v>
      </x:c>
      <x:c r="H13" t="str">
        <x:v>部分類別禁止</x:v>
      </x:c>
    </x:row>
    <x:row r="14">
      <x:c r="A14" t="str">
        <x:v>CNX流程</x:v>
      </x:c>
      <x:c r="B14" t="str">
        <x:v>下機→移民→領行李→海關→行李寄送→Chai Lai接駁</x:v>
      </x:c>
      <x:c r="C14" t="str">
        <x:v>兩人分工：文件/行李、寄送/接駁</x:v>
      </x:c>
      <x:c r="D14" t="str">
        <x:v>9/23</x:v>
      </x:c>
      <x:c r="E14" t="str">
        <x:v>高</x:v>
      </x:c>
      <x:c r="F14" t="str">
        <x:v>待完成</x:v>
      </x:c>
      <x:c r="G14" t="str">
        <x:v>—</x:v>
      </x:c>
      <x:c r="H14" t="str">
        <x:v>不要先逛商場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旅遊保險｜2 人清邁 11 天保障檢查表</x:v>
      </x:c>
      <x:c r="B1"/>
      <x:c r="C1"/>
      <x:c r="D1"/>
      <x:c r="E1"/>
      <x:c r="F1"/>
      <x:c r="G1"/>
      <x:c r="H1"/>
      <x:c r="I1"/>
      <x:c r="J1"/>
    </x:row>
    <x:row r="2">
      <x:c r="A2" t="str">
        <x:v>不是只買『旅平險』就完成：這趟有 Skyline、高雨季、海外醫療與行李/航班風險，請逐項核對保單。建議額度是旅行規劃目標，不是法定最低標準。</x:v>
      </x:c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t="str">
        <x:v>保障項目</x:v>
      </x:c>
      <x:c r="B4" t="str">
        <x:v>這趟為什麼需要</x:v>
      </x:c>
      <x:c r="C4" t="str">
        <x:v>建議規劃目標／重點</x:v>
      </x:c>
      <x:c r="D4" t="str">
        <x:v>旅客1實際</x:v>
      </x:c>
      <x:c r="E4" t="str">
        <x:v>旅客2實際</x:v>
      </x:c>
      <x:c r="F4" t="str">
        <x:v>是否確認</x:v>
      </x:c>
      <x:c r="G4" t="str">
        <x:v>優先</x:v>
      </x:c>
      <x:c r="H4" t="str">
        <x:v>理賠/承保要問什麼</x:v>
      </x:c>
      <x:c r="I4" t="str">
        <x:v>來源</x:v>
      </x:c>
      <x:c r="J4" t="str">
        <x:v>備註</x:v>
      </x:c>
    </x:row>
    <x:row r="5">
      <x:c r="A5" t="str">
        <x:v>旅行平安險（意外身故/失能）</x:v>
      </x:c>
      <x:c r="B5" t="str">
        <x:v>大象活動、Skyline、交通與一般旅遊意外</x:v>
      </x:c>
      <x:c r="C5" t="str">
        <x:v>依家庭責任/既有保障決定；可把 NT$500–1,000萬/人當比較起點，並非官方最低標準</x:v>
      </x:c>
      <x:c r="D5"/>
      <x:c r="E5"/>
      <x:c r="F5" t="str">
        <x:v>待確認</x:v>
      </x:c>
      <x:c r="G5" t="str">
        <x:v>高</x:v>
      </x:c>
      <x:c r="H5" t="str">
        <x:v>確認保險期間完整涵蓋 9/23 出發至 10/3 抵台；時區/延誤自動延長條款</x:v>
      </x:c>
      <x:c r="I5" t="str">
        <x:v>https://www.fsc.gov.tw/ch/home.jsp?dataserno=202411210002&amp;dtable=News&amp;id=96&amp;mcustomize=news_view.jsp&amp;parentpath=0</x:v>
      </x:c>
      <x:c r="J5" t="str">
        <x:v>死亡失能額度高不等於醫療也高；醫療要另外看</x:v>
      </x:c>
    </x:row>
    <x:row r="6">
      <x:c r="A6" t="str">
        <x:v>傷害醫療費用</x:v>
      </x:c>
      <x:c r="B6" t="str">
        <x:v>戶外活動跌倒、割傷、扭傷等實際就醫較常見</x:v>
      </x:c>
      <x:c r="C6" t="str">
        <x:v>建議至少 NT$100萬/人以上的海外意外醫療可用額度；實際依預算與既有保險調整</x:v>
      </x:c>
      <x:c r="D6"/>
      <x:c r="E6"/>
      <x:c r="F6" t="str">
        <x:v>待確認</x:v>
      </x:c>
      <x:c r="G6" t="str">
        <x:v>最高</x:v>
      </x:c>
      <x:c r="H6" t="str">
        <x:v>實支實付或定額？海外門/急/住院如何申請？自負額？</x:v>
      </x:c>
      <x:c r="I6" t="str">
        <x:v>https://www.fsc.gov.tw/ch/home.jsp?dataserno=202411210002&amp;dtable=News&amp;id=96&amp;mcustomize=news_view.jsp&amp;parentpath=0</x:v>
      </x:c>
      <x:c r="J6" t="str">
        <x:v>這項對你們比單純身故額度更實用</x:v>
      </x:c>
    </x:row>
    <x:row r="7">
      <x:c r="A7" t="str">
        <x:v>海外突發疾病醫療</x:v>
      </x:c>
      <x:c r="B7" t="str">
        <x:v>11天旅程可能遇腸胃炎、登革熱疑似症狀、發燒等</x:v>
      </x:c>
      <x:c r="C7" t="str">
        <x:v>建議至少 NT$100–200萬/人以上；確認住院、急診、門診三者是否都涵蓋及各自上限</x:v>
      </x:c>
      <x:c r="D7"/>
      <x:c r="E7"/>
      <x:c r="F7" t="str">
        <x:v>待確認</x:v>
      </x:c>
      <x:c r="G7" t="str">
        <x:v>最高</x:v>
      </x:c>
      <x:c r="H7" t="str">
        <x:v>既往症/慢性病是否除外？海外地區是否有給付倍數/限額？</x:v>
      </x:c>
      <x:c r="I7" t="str">
        <x:v>https://www.fsc.gov.tw/ch/home.jsp?dataserno=202411210002&amp;dtable=News&amp;id=96&amp;mcustomize=news_view.jsp&amp;parentpath=0</x:v>
      </x:c>
      <x:c r="J7" t="str">
        <x:v>旅平險本身主要是意外，不會自動等於突發疾病保障</x:v>
      </x:c>
    </x:row>
    <x:row r="8">
      <x:c r="A8" t="str">
        <x:v>海外緊急救援/醫療運送</x:v>
      </x:c>
      <x:c r="B8" t="str">
        <x:v>山區活動若重傷，可能需要轉院、救護運送或返台</x:v>
      </x:c>
      <x:c r="C8" t="str">
        <x:v>建議至少 NT$200–500萬/人，或選實支/高額救援方案；能更高更好</x:v>
      </x:c>
      <x:c r="D8"/>
      <x:c r="E8"/>
      <x:c r="F8" t="str">
        <x:v>待確認</x:v>
      </x:c>
      <x:c r="G8" t="str">
        <x:v>最高</x:v>
      </x:c>
      <x:c r="H8" t="str">
        <x:v>是否含緊急醫療運送、轉院、遺體/骨灰運返、家屬探視？是否需先打救援中心核准？</x:v>
      </x:c>
      <x:c r="I8" t="str">
        <x:v>https://www.fsc.gov.tw/ch/home.jsp?dataserno=202411210002&amp;dtable=News&amp;id=96&amp;mcustomize=news_view.jsp&amp;parentpath=0</x:v>
      </x:c>
      <x:c r="J8" t="str">
        <x:v>把24小時海外急難電話存兩支手機</x:v>
      </x:c>
    </x:row>
    <x:row r="9">
      <x:c r="A9" t="str">
        <x:v>Skyline / 高空滑索活動承保</x:v>
      </x:c>
      <x:c r="B9" t="str">
        <x:v>你們已排 Skyline Extreme，屬高空戶外活動</x:v>
      </x:c>
      <x:c r="C9" t="str">
        <x:v>不要假設一定承保；投保前把『recreational zipline / jungle luge / adventure activity』名稱直接問客服並留文字回覆</x:v>
      </x:c>
      <x:c r="D9"/>
      <x:c r="E9"/>
      <x:c r="F9" t="str">
        <x:v>待確認</x:v>
      </x:c>
      <x:c r="G9" t="str">
        <x:v>最高</x:v>
      </x:c>
      <x:c r="H9" t="str">
        <x:v>是否屬除外/特定活動？若由合法業者帶領、非競賽是否承保？傷害醫療與救援是否同樣承保？</x:v>
      </x:c>
      <x:c r="I9" t="str">
        <x:v>https://law.fsc.gov.tw/LawContent.aspx?id=FL006850</x:v>
      </x:c>
      <x:c r="J9" t="str">
        <x:v>示範條款列競賽/表演等不保事項，但各公司實際條款可不同；這項一定逐家確認</x:v>
      </x:c>
    </x:row>
    <x:row r="10">
      <x:c r="A10" t="str">
        <x:v>Kerchor / 大象活動承保</x:v>
      </x:c>
      <x:c r="B10" t="str">
        <x:v>可能涉泥濘、濕滑、與大型動物互動</x:v>
      </x:c>
      <x:c r="C10" t="str">
        <x:v>投保前向保險公司確認一般觀光型大象生態體驗是否列除外</x:v>
      </x:c>
      <x:c r="D10"/>
      <x:c r="E10"/>
      <x:c r="F10" t="str">
        <x:v>待確認</x:v>
      </x:c>
      <x:c r="G10" t="str">
        <x:v>高</x:v>
      </x:c>
      <x:c r="H10" t="str">
        <x:v>若被動物碰撞/踩踏、滑倒是否屬意外？活動業者公共責任與個人保險是兩回事</x:v>
      </x:c>
      <x:c r="I10" t="str">
        <x:v>https://law.fsc.gov.tw/LawContent.aspx?id=FL006850</x:v>
      </x:c>
      <x:c r="J10" t="str">
        <x:v>不把業者保險當成自己的旅行保險</x:v>
      </x:c>
    </x:row>
    <x:row r="11">
      <x:c r="A11" t="str">
        <x:v>班機延誤</x:v>
      </x:c>
      <x:c r="B11" t="str">
        <x:v>雨季、轉場與回程行程都有延誤風險</x:v>
      </x:c>
      <x:c r="C11" t="str">
        <x:v>比較『幾小時起賠』與每次/累計上限；定額與實支型都看清楚</x:v>
      </x:c>
      <x:c r="D11"/>
      <x:c r="E11"/>
      <x:c r="F11" t="str">
        <x:v>待確認</x:v>
      </x:c>
      <x:c r="G11" t="str">
        <x:v>高</x:v>
      </x:c>
      <x:c r="H11" t="str">
        <x:v>延誤門檻是4/6/12小時？需航空公司延誤證明？同一事件可否重複給付？</x:v>
      </x:c>
      <x:c r="I11" t="str">
        <x:v>https://law.fsc.gov.tw/LawContent.aspx?id=GL003523</x:v>
      </x:c>
      <x:c r="J11" t="str">
        <x:v>保留登機證、航空公司延誤證明、必要支出收據</x:v>
      </x:c>
    </x:row>
    <x:row r="12">
      <x:c r="A12" t="str">
        <x:v>旅程取消</x:v>
      </x:c>
      <x:c r="B12" t="str">
        <x:v>出發前突發重大事件可能導致整趟取消</x:v>
      </x:c>
      <x:c r="C12" t="str">
        <x:v>若已付不少不可退訂單，這項價值較高；額度至少覆蓋主要不可退成本</x:v>
      </x:c>
      <x:c r="D12"/>
      <x:c r="E12"/>
      <x:c r="F12" t="str">
        <x:v>待確認</x:v>
      </x:c>
      <x:c r="G12" t="str">
        <x:v>高</x:v>
      </x:c>
      <x:c r="H12" t="str">
        <x:v>哪些原因才承保？已知事件不保；投保時點與事前特定期間？哪些訂單算不可退？</x:v>
      </x:c>
      <x:c r="I12" t="str">
        <x:v>https://law.fsc.gov.tw/LawContent.aspx?id=GL003523</x:v>
      </x:c>
      <x:c r="J12" t="str">
        <x:v>越早投保越有意義，不要等事件發生才買</x:v>
      </x:c>
    </x:row>
    <x:row r="13">
      <x:c r="A13" t="str">
        <x:v>旅程更改</x:v>
      </x:c>
      <x:c r="B13" t="str">
        <x:v>清邁雨季可能因天災改住宿/交通/行程</x:v>
      </x:c>
      <x:c r="C13" t="str">
        <x:v>優先選可補償新增交通/住宿的實支型保障</x:v>
      </x:c>
      <x:c r="D13"/>
      <x:c r="E13"/>
      <x:c r="F13" t="str">
        <x:v>待確認</x:v>
      </x:c>
      <x:c r="G13" t="str">
        <x:v>高</x:v>
      </x:c>
      <x:c r="H13" t="str">
        <x:v>天災造成更改是否涵蓋？新增住宿/交通要哪些單據？有每日/總額上限嗎？</x:v>
      </x:c>
      <x:c r="I13" t="str">
        <x:v>https://law.fsc.gov.tw/LawContent.aspx?id=GL003523</x:v>
      </x:c>
      <x:c r="J13" t="str">
        <x:v>金管會特別提到天災造成旅程更改可能增加交通/住宿費</x:v>
      </x:c>
    </x:row>
    <x:row r="14">
      <x:c r="A14" t="str">
        <x:v>行李延誤</x:v>
      </x:c>
      <x:c r="B14" t="str">
        <x:v>去程若托運行李延誤，會影響11天旅程起始</x:v>
      </x:c>
      <x:c r="C14" t="str">
        <x:v>確認延誤幾小時起賠、必要衣物/用品是否可實支</x:v>
      </x:c>
      <x:c r="D14"/>
      <x:c r="E14"/>
      <x:c r="F14" t="str">
        <x:v>待確認</x:v>
      </x:c>
      <x:c r="G14" t="str">
        <x:v>中</x:v>
      </x:c>
      <x:c r="H14" t="str">
        <x:v>行李延誤證明/PIR是否必須？哪些採購可理賠？</x:v>
      </x:c>
      <x:c r="I14" t="str">
        <x:v>https://law.fsc.gov.tw/LawContent.aspx?id=GL003523</x:v>
      </x:c>
      <x:c r="J14" t="str">
        <x:v>9/23大件行李另有機場配送，那不是航空行李延誤保障</x:v>
      </x:c>
    </x:row>
    <x:row r="15">
      <x:c r="A15" t="str">
        <x:v>行李損失/竊盜</x:v>
      </x:c>
      <x:c r="B15" t="str">
        <x:v>市集多、人潮多，且有托運行李</x:v>
      </x:c>
      <x:c r="C15" t="str">
        <x:v>確認每件/每物品上限與高價3C是否限額/除外</x:v>
      </x:c>
      <x:c r="D15"/>
      <x:c r="E15"/>
      <x:c r="F15" t="str">
        <x:v>待確認</x:v>
      </x:c>
      <x:c r="G15" t="str">
        <x:v>中</x:v>
      </x:c>
      <x:c r="H15" t="str">
        <x:v>竊盜是否要警察報案？手機/相機/現金是否除外？托運遺失怎麼算？</x:v>
      </x:c>
      <x:c r="I15" t="str">
        <x:v>https://law.fsc.gov.tw/LawContent.aspx?id=GL003523</x:v>
      </x:c>
      <x:c r="J15" t="str">
        <x:v>貴重物品不要托運</x:v>
      </x:c>
    </x:row>
    <x:row r="16">
      <x:c r="A16" t="str">
        <x:v>旅行文件損失</x:v>
      </x:c>
      <x:c r="B16" t="str">
        <x:v>護照遺失會影響回程與補辦</x:v>
      </x:c>
      <x:c r="C16" t="str">
        <x:v>至少要涵蓋補辦旅行文件與必要交通/住宿費的一部分</x:v>
      </x:c>
      <x:c r="D16"/>
      <x:c r="E16"/>
      <x:c r="F16" t="str">
        <x:v>待確認</x:v>
      </x:c>
      <x:c r="G16" t="str">
        <x:v>中</x:v>
      </x:c>
      <x:c r="H16" t="str">
        <x:v>需警察報案/使館證明？補辦費與交通費是否都算？</x:v>
      </x:c>
      <x:c r="I16" t="str">
        <x:v>https://law.fsc.gov.tw/LawContent.aspx?id=GL003523</x:v>
      </x:c>
      <x:c r="J16" t="str">
        <x:v>護照影本、證件照、保單資料離線備份</x:v>
      </x:c>
    </x:row>
    <x:row r="17">
      <x:c r="A17" t="str">
        <x:v>個人責任保險</x:v>
      </x:c>
      <x:c r="B17" t="str">
        <x:v>不慎造成他人受傷/財物損失</x:v>
      </x:c>
      <x:c r="C17" t="str">
        <x:v>若綜合旅遊險可附加，可考慮至少 NT$100–300萬/人以上</x:v>
      </x:c>
      <x:c r="D17"/>
      <x:c r="E17"/>
      <x:c r="F17" t="str">
        <x:v>待確認</x:v>
      </x:c>
      <x:c r="G17" t="str">
        <x:v>中</x:v>
      </x:c>
      <x:c r="H17" t="str">
        <x:v>租借物、住宿物品、特定活動造成損害是否除外？</x:v>
      </x:c>
      <x:c r="I17" t="str">
        <x:v>https://www.fsc.gov.tw/ch/home.jsp?dataserno=202411210002&amp;dtable=News&amp;id=96&amp;mcustomize=news_view.jsp&amp;parentpath=0</x:v>
      </x:c>
      <x:c r="J17" t="str">
        <x:v>不是所有旅遊方案都有</x:v>
      </x:c>
    </x:row>
    <x:row r="18">
      <x:c r="A18" t="str">
        <x:v>保險期間</x:v>
      </x:c>
      <x:c r="B18" t="str">
        <x:v>去程 9/23、回程 10/3 晚抵台</x:v>
      </x:c>
      <x:c r="C18" t="str">
        <x:v>建議涵蓋從離開台灣住處/至少出境前起，到10/3實際返抵台灣後；不要只保『泰國當地日期』</x:v>
      </x:c>
      <x:c r="D18"/>
      <x:c r="E18"/>
      <x:c r="F18" t="str">
        <x:v>待確認</x:v>
      </x:c>
      <x:c r="G18" t="str">
        <x:v>最高</x:v>
      </x:c>
      <x:c r="H18" t="str">
        <x:v>若班機延誤跨過保險截止時間，是否自動延長？</x:v>
      </x:c>
      <x:c r="I18" t="str">
        <x:v>https://law.fsc.gov.tw/LawContent.aspx?id=FL006850</x:v>
      </x:c>
      <x:c r="J18" t="str">
        <x:v>示範條款有公共交通延誤時自動延長的規定，但仍看實際保單</x:v>
      </x:c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 t="str">
        <x:v>發生狀況</x:v>
      </x:c>
      <x:c r="B21" t="str">
        <x:v>第一時間</x:v>
      </x:c>
      <x:c r="C21" t="str">
        <x:v>要拿的證明</x:v>
      </x:c>
      <x:c r="D21" t="str">
        <x:v>要留的收據</x:v>
      </x:c>
      <x:c r="E21" t="str">
        <x:v>保險公司前置聯絡</x:v>
      </x:c>
      <x:c r="F21" t="str">
        <x:v>回台後</x:v>
      </x:c>
      <x:c r="G21" t="str">
        <x:v>重要性</x:v>
      </x:c>
      <x:c r="H21" t="str">
        <x:v>備註</x:v>
      </x:c>
      <x:c r="I21"/>
      <x:c r="J21"/>
    </x:row>
    <x:row r="22">
      <x:c r="A22" t="str">
        <x:v>海外就醫</x:v>
      </x:c>
      <x:c r="B22" t="str">
        <x:v>先就醫/必要時打1669＋保險急難電話</x:v>
      </x:c>
      <x:c r="C22" t="str">
        <x:v>診斷書/病歷摘要</x:v>
      </x:c>
      <x:c r="D22" t="str">
        <x:v>醫療收據、藥費</x:v>
      </x:c>
      <x:c r="E22" t="str">
        <x:v>重大醫療/住院/轉院先聯絡救援中心</x:v>
      </x:c>
      <x:c r="F22" t="str">
        <x:v>依保單期限申請</x:v>
      </x:c>
      <x:c r="G22" t="str">
        <x:v>最高</x:v>
      </x:c>
      <x:c r="H22" t="str">
        <x:v>英文文件較方便</x:v>
      </x:c>
      <x:c r="I22"/>
      <x:c r="J22"/>
    </x:row>
    <x:row r="23">
      <x:c r="A23" t="str">
        <x:v>班機延誤/取消</x:v>
      </x:c>
      <x:c r="B23" t="str">
        <x:v>找航空公司櫃台/App取得通知</x:v>
      </x:c>
      <x:c r="C23" t="str">
        <x:v>延誤/取消證明、登機證</x:v>
      </x:c>
      <x:c r="D23" t="str">
        <x:v>餐飲/住宿/交通</x:v>
      </x:c>
      <x:c r="E23" t="str">
        <x:v>看是否需事前同意</x:v>
      </x:c>
      <x:c r="F23" t="str">
        <x:v>線上申請</x:v>
      </x:c>
      <x:c r="G23" t="str">
        <x:v>高</x:v>
      </x:c>
      <x:c r="H23" t="str">
        <x:v>不要只截Google航班狀態</x:v>
      </x:c>
      <x:c r="I23"/>
      <x:c r="J23"/>
    </x:row>
    <x:row r="24">
      <x:c r="A24" t="str">
        <x:v>行李延誤/遺失</x:v>
      </x:c>
      <x:c r="B24" t="str">
        <x:v>機場行李櫃台立即報案</x:v>
      </x:c>
      <x:c r="C24" t="str">
        <x:v>PIR/航空公司證明、行李牌</x:v>
      </x:c>
      <x:c r="D24" t="str">
        <x:v>必要用品收據</x:v>
      </x:c>
      <x:c r="E24" t="str">
        <x:v>依保單要求</x:v>
      </x:c>
      <x:c r="F24" t="str">
        <x:v>申請</x:v>
      </x:c>
      <x:c r="G24" t="str">
        <x:v>高</x:v>
      </x:c>
      <x:c r="H24" t="str">
        <x:v>離開機場前先拿證明</x:v>
      </x:c>
      <x:c r="I24"/>
      <x:c r="J24"/>
    </x:row>
    <x:row r="25">
      <x:c r="A25" t="str">
        <x:v>護照遺失</x:v>
      </x:c>
      <x:c r="B25" t="str">
        <x:v>警察報案＋聯絡駐外單位</x:v>
      </x:c>
      <x:c r="C25" t="str">
        <x:v>報案證明/旅行文件</x:v>
      </x:c>
      <x:c r="D25" t="str">
        <x:v>補辦、交通、必要住宿</x:v>
      </x:c>
      <x:c r="E25" t="str">
        <x:v>若有急難服務先聯絡</x:v>
      </x:c>
      <x:c r="F25" t="str">
        <x:v>申請</x:v>
      </x:c>
      <x:c r="G25" t="str">
        <x:v>高</x:v>
      </x:c>
      <x:c r="H25" t="str">
        <x:v>保留證件影本</x:v>
      </x:c>
      <x:c r="I25"/>
      <x:c r="J25"/>
    </x:row>
    <x:row r="26">
      <x:c r="A26" t="str">
        <x:v>竊盜</x:v>
      </x:c>
      <x:c r="B26" t="str">
        <x:v>先確保安全，再報警</x:v>
      </x:c>
      <x:c r="C26" t="str">
        <x:v>警察報案證明</x:v>
      </x:c>
      <x:c r="D26" t="str">
        <x:v>被竊物購買證明如有</x:v>
      </x:c>
      <x:c r="E26" t="str">
        <x:v>依保單要求</x:v>
      </x:c>
      <x:c r="F26" t="str">
        <x:v>申請</x:v>
      </x:c>
      <x:c r="G26" t="str">
        <x:v>高</x:v>
      </x:c>
      <x:c r="H26" t="str">
        <x:v>現金/手機常有特殊限額</x:v>
      </x:c>
      <x:c r="I26"/>
      <x:c r="J26"/>
    </x:row>
    <x:row r="27">
      <x:c r="A27" t="str">
        <x:v>旅程更改</x:v>
      </x:c>
      <x:c r="B27" t="str">
        <x:v>先記錄原因與原行程</x:v>
      </x:c>
      <x:c r="C27" t="str">
        <x:v>天災/業者/航空正式證明</x:v>
      </x:c>
      <x:c r="D27" t="str">
        <x:v>新增交通住宿收據</x:v>
      </x:c>
      <x:c r="E27" t="str">
        <x:v>若條款要求事前聯絡先打</x:v>
      </x:c>
      <x:c r="F27" t="str">
        <x:v>申請</x:v>
      </x:c>
      <x:c r="G27" t="str">
        <x:v>中</x:v>
      </x:c>
      <x:c r="H27" t="str">
        <x:v>取消/更改原因是否承保是關鍵</x:v>
      </x:c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 t="str">
        <x:v>旅客</x:v>
      </x:c>
      <x:c r="B30" t="str">
        <x:v>保險公司</x:v>
      </x:c>
      <x:c r="C30" t="str">
        <x:v>保單號碼</x:v>
      </x:c>
      <x:c r="D30" t="str">
        <x:v>承保起迄</x:v>
      </x:c>
      <x:c r="E30" t="str">
        <x:v>海外急難電話</x:v>
      </x:c>
      <x:c r="F30" t="str">
        <x:v>App/保單檔位置</x:v>
      </x:c>
      <x:c r="G30" t="str">
        <x:v>保費TWD</x:v>
      </x:c>
      <x:c r="H30" t="str">
        <x:v>最後確認</x:v>
      </x:c>
      <x:c r="I30"/>
      <x:c r="J30"/>
    </x:row>
    <x:row r="31">
      <x:c r="A31" t="str">
        <x:v>旅客1</x:v>
      </x:c>
      <x:c r="B31"/>
      <x:c r="C31"/>
      <x:c r="D31"/>
      <x:c r="E31"/>
      <x:c r="F31"/>
      <x:c r="G31"/>
      <x:c r="H31" t="str">
        <x:v>待填</x:v>
      </x:c>
      <x:c r="I31"/>
      <x:c r="J31"/>
    </x:row>
    <x:row r="32">
      <x:c r="A32" t="str">
        <x:v>旅客2</x:v>
      </x:c>
      <x:c r="B32"/>
      <x:c r="C32"/>
      <x:c r="D32"/>
      <x:c r="E32"/>
      <x:c r="F32"/>
      <x:c r="G32"/>
      <x:c r="H32" t="str">
        <x:v>待填</x:v>
      </x:c>
      <x:c r="I32"/>
      <x:c r="J32"/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台灣旅遊保險比較｜清邁 10 日基準＋本次實際保期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</x:row>
    <x:row r="2">
      <x:c r="A2" t="str">
        <x:v>保費若需年齡、精確起訖時間與保額才可計算，就明確標示「官網即時試算」，不以短天數保費直接乘算。你們實際 9/23–10/3 晚返台，請用完整起訖時間投保。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</x:row>
    <x:row r="4">
      <x:c r="A4" t="str">
        <x:v>投保前先確認</x:v>
      </x:c>
      <x:c r="B4" t="str">
        <x:v>本次怎麼看</x:v>
      </x:c>
      <x:c r="C4" t="str">
        <x:v>數字/規則</x:v>
      </x:c>
      <x:c r="D4" t="str">
        <x:v>影響</x:v>
      </x:c>
      <x:c r="E4" t="str">
        <x:v>建議動作</x:v>
      </x:c>
      <x:c r="F4" t="str">
        <x:v>官方依據</x:v>
      </x:c>
      <x:c r="G4"/>
      <x:c r="H4"/>
      <x:c r="I4"/>
      <x:c r="J4"/>
      <x:c r="K4"/>
      <x:c r="L4"/>
      <x:c r="M4"/>
      <x:c r="N4"/>
      <x:c r="O4"/>
      <x:c r="P4"/>
      <x:c r="Q4"/>
    </x:row>
    <x:row r="5">
      <x:c r="A5" t="str">
        <x:v>比較基準</x:v>
      </x:c>
      <x:c r="B5" t="str">
        <x:v>你要求的10日比較</x:v>
      </x:c>
      <x:c r="C5" t="str">
        <x:v>10日</x:v>
      </x:c>
      <x:c r="D5" t="str">
        <x:v>只用來比方案，不代表本次保期一定是10日</x:v>
      </x:c>
      <x:c r="E5" t="str">
        <x:v>比較用10日；正式投保輸入實際離家→返家時間</x:v>
      </x:c>
      <x:c r="F5" t="str">
        <x:v>各公司試算頁</x:v>
      </x:c>
      <x:c r="G5"/>
      <x:c r="H5"/>
      <x:c r="I5"/>
      <x:c r="J5"/>
      <x:c r="K5"/>
      <x:c r="L5"/>
      <x:c r="M5"/>
      <x:c r="N5"/>
      <x:c r="O5"/>
      <x:c r="P5"/>
      <x:c r="Q5"/>
    </x:row>
    <x:row r="6">
      <x:c r="A6" t="str">
        <x:v>實際旅程</x:v>
      </x:c>
      <x:c r="B6" t="str">
        <x:v>9/23出發、10/3晚返台</x:v>
      </x:c>
      <x:c r="C6" t="str">
        <x:v>11個曆日</x:v>
      </x:c>
      <x:c r="D6" t="str">
        <x:v>24小時計費的公司可能自動加1日</x:v>
      </x:c>
      <x:c r="E6" t="str">
        <x:v>保期涵蓋到10/3實際回到台灣之後</x:v>
      </x:c>
      <x:c r="F6" t="str">
        <x:v>新安東京官方試算說明</x:v>
      </x:c>
      <x:c r="G6"/>
      <x:c r="H6"/>
      <x:c r="I6"/>
      <x:c r="J6"/>
      <x:c r="K6"/>
      <x:c r="L6"/>
      <x:c r="M6"/>
      <x:c r="N6"/>
      <x:c r="O6"/>
      <x:c r="P6"/>
      <x:c r="Q6"/>
    </x:row>
    <x:row r="7">
      <x:c r="A7" t="str">
        <x:v>不便險張數新制</x:v>
      </x:c>
      <x:c r="B7" t="str">
        <x:v>2026/4/1起</x:v>
      </x:c>
      <x:c r="C7" t="str">
        <x:v>全業界最多2張；同公司最多1張</x:v>
      </x:c>
      <x:c r="D7" t="str">
        <x:v>重疊保期也計算</x:v>
      </x:c>
      <x:c r="E7" t="str">
        <x:v>若另有信用卡/自購保單要先盤點</x:v>
      </x:c>
      <x:c r="F7" t="str">
        <x:v>國泰產險新制公告</x:v>
      </x:c>
      <x:c r="G7"/>
      <x:c r="H7"/>
      <x:c r="I7"/>
      <x:c r="J7"/>
      <x:c r="K7"/>
      <x:c r="L7"/>
      <x:c r="M7"/>
      <x:c r="N7"/>
      <x:c r="O7"/>
      <x:c r="P7"/>
      <x:c r="Q7"/>
    </x:row>
    <x:row r="8">
      <x:c r="A8" t="str">
        <x:v>活動風險</x:v>
      </x:c>
      <x:c r="B8" t="str">
        <x:v>Skyline Extreme＋Kerchor</x:v>
      </x:c>
      <x:c r="C8" t="str">
        <x:v>高空滑索/大型動物活動</x:v>
      </x:c>
      <x:c r="D8" t="str">
        <x:v>不能假設一般旅平險一定承保</x:v>
      </x:c>
      <x:c r="E8" t="str">
        <x:v>正式投保前直接問客服並留文字紀錄</x:v>
      </x:c>
      <x:c r="F8" t="str">
        <x:v>各公司條款/客服確認</x:v>
      </x:c>
      <x:c r="G8"/>
      <x:c r="H8"/>
      <x:c r="I8"/>
      <x:c r="J8"/>
      <x:c r="K8"/>
      <x:c r="L8"/>
      <x:c r="M8"/>
      <x:c r="N8"/>
      <x:c r="O8"/>
      <x:c r="P8"/>
      <x:c r="Q8"/>
    </x:row>
    <x:row r="9">
      <x:c r="A9" t="str">
        <x:v>雨季風險</x:v>
      </x:c>
      <x:c r="B9" t="str">
        <x:v>9月底清邁仍是高降雨期</x:v>
      </x:c>
      <x:c r="C9" t="str">
        <x:v>班機延誤、旅程更改較重要</x:v>
      </x:c>
      <x:c r="D9" t="str">
        <x:v>只看身故額度會漏掉真正容易用到的保障</x:v>
      </x:c>
      <x:c r="E9" t="str">
        <x:v>優先比較醫療、突發疾病、救援、不便險</x:v>
      </x:c>
      <x:c r="F9" t="str">
        <x:v>本行程風險分析</x:v>
      </x:c>
      <x:c r="G9"/>
      <x:c r="H9"/>
      <x:c r="I9"/>
      <x:c r="J9"/>
      <x:c r="K9"/>
      <x:c r="L9"/>
      <x:c r="M9"/>
      <x:c r="N9"/>
      <x:c r="O9"/>
      <x:c r="P9"/>
      <x:c r="Q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</x:row>
    <x:row r="12">
      <x:c r="A12" t="str">
        <x:v>公司</x:v>
      </x:c>
      <x:c r="B12" t="str">
        <x:v>代表方案</x:v>
      </x:c>
      <x:c r="C12" t="str">
        <x:v>10日保費資訊</x:v>
      </x:c>
      <x:c r="D12" t="str">
        <x:v>本次實際保費</x:v>
      </x:c>
      <x:c r="E12" t="str">
        <x:v>身故/失能</x:v>
      </x:c>
      <x:c r="F12" t="str">
        <x:v>傷害醫療</x:v>
      </x:c>
      <x:c r="G12" t="str">
        <x:v>海外突發疾病</x:v>
      </x:c>
      <x:c r="H12" t="str">
        <x:v>法定傳染病</x:v>
      </x:c>
      <x:c r="I12" t="str">
        <x:v>班機延誤</x:v>
      </x:c>
      <x:c r="J12" t="str">
        <x:v>旅程取消/更改</x:v>
      </x:c>
      <x:c r="K12" t="str">
        <x:v>行李</x:v>
      </x:c>
      <x:c r="L12" t="str">
        <x:v>緊急救援/運送</x:v>
      </x:c>
      <x:c r="M12" t="str">
        <x:v>理賠方式</x:v>
      </x:c>
      <x:c r="N12" t="str">
        <x:v>清邁適配</x:v>
      </x:c>
      <x:c r="O12" t="str">
        <x:v>Skyline/Kerchor</x:v>
      </x:c>
      <x:c r="P12" t="str">
        <x:v>費用可信度</x:v>
      </x:c>
      <x:c r="Q12" t="str">
        <x:v>官方來源</x:v>
      </x:c>
    </x:row>
    <x:row r="13">
      <x:c r="A13" t="str">
        <x:v>富邦產險</x:v>
      </x:c>
      <x:c r="B13" t="str">
        <x:v>PD1／高保障方案</x:v>
      </x:c>
      <x:c r="C13" t="str">
        <x:v>10日需官網即時試算（年齡、保額、天數影響）</x:v>
      </x:c>
      <x:c r="D13" t="str">
        <x:v>待實際起訖時間試算</x:v>
      </x:c>
      <x:c r="E13" t="str">
        <x:v>600–1,500萬可選</x:v>
      </x:c>
      <x:c r="F13" t="str">
        <x:v>最高120萬（依PD1）</x:v>
      </x:c>
      <x:c r="G13" t="str">
        <x:v>住院最高120萬；門診2%、急診5%、返國住院5%</x:v>
      </x:c>
      <x:c r="H13" t="str">
        <x:v>含</x:v>
      </x:c>
      <x:c r="I13" t="str">
        <x:v>每4小時6,000；單次最高12,000；最多2次</x:v>
      </x:c>
      <x:c r="J13" t="str">
        <x:v>取消10萬／更改10萬</x:v>
      </x:c>
      <x:c r="K13" t="str">
        <x:v>延誤6,000；損失6,000；文件3,000</x:v>
      </x:c>
      <x:c r="L13" t="str">
        <x:v>緊急救援費用200萬；另SOS服務最高US$60,000</x:v>
      </x:c>
      <x:c r="M13" t="str">
        <x:v>旅遊小管家／快速班機理賠／一般理賠</x:v>
      </x:c>
      <x:c r="N13" t="str">
        <x:v>A｜醫療＋雨季不便險完整</x:v>
      </x:c>
      <x:c r="O13" t="str">
        <x:v>一定要向富邦確認zipline/大象活動是否除外</x:v>
      </x:c>
      <x:c r="P13" t="str">
        <x:v>動態試算，不硬估</x:v>
      </x:c>
      <x:c r="Q13" t="str">
        <x:v>https://www.fubon.com/insurance/b2c/content/prod_travel/index1.html</x:v>
      </x:c>
    </x:row>
    <x:row r="14">
      <x:c r="A14" t="str">
        <x:v>國泰產險</x:v>
      </x:c>
      <x:c r="B14" t="str">
        <x:v>海外豪華型 U3</x:v>
      </x:c>
      <x:c r="C14" t="str">
        <x:v>10日需官網即時試算；官網有其他天數示例</x:v>
      </x:c>
      <x:c r="D14" t="str">
        <x:v>待實際起訖時間試算</x:v>
      </x:c>
      <x:c r="E14" t="str">
        <x:v>200–1,500萬可選</x:v>
      </x:c>
      <x:c r="F14" t="str">
        <x:v>最高200萬</x:v>
      </x:c>
      <x:c r="G14" t="str">
        <x:v>乙型含法傳最高120萬（另有甲型不含法傳最高200萬）</x:v>
      </x:c>
      <x:c r="H14" t="str">
        <x:v>乙型含</x:v>
      </x:c>
      <x:c r="I14" t="str">
        <x:v>每4小時6,000；單次最高12,000；最多2次</x:v>
      </x:c>
      <x:c r="J14" t="str">
        <x:v>取消12萬／更改12萬</x:v>
      </x:c>
      <x:c r="K14" t="str">
        <x:v>延誤6,000；損失6,000；文件3,000</x:v>
      </x:c>
      <x:c r="L14" t="str">
        <x:v>海外急難救助最高300萬</x:v>
      </x:c>
      <x:c r="M14" t="str">
        <x:v>官網/櫃檯理賠；文件齊全後審核匯款</x:v>
      </x:c>
      <x:c r="N14" t="str">
        <x:v>A｜旅程更改與救援強</x:v>
      </x:c>
      <x:c r="O14" t="str">
        <x:v>投保前問活動除外；留客服回覆</x:v>
      </x:c>
      <x:c r="P14" t="str">
        <x:v>動態試算，不硬估</x:v>
      </x:c>
      <x:c r="Q14" t="str">
        <x:v>https://www.cathay-ins.com.tw/cathayins/personal/travel/oversea/</x:v>
      </x:c>
    </x:row>
    <x:row r="15">
      <x:c r="A15" t="str">
        <x:v>臺灣產物</x:v>
      </x:c>
      <x:c r="B15" t="str">
        <x:v>豪華遊</x:v>
      </x:c>
      <x:c r="C15" t="str">
        <x:v>10日需官網即時試算</x:v>
      </x:c>
      <x:c r="D15" t="str">
        <x:v>待實際起訖時間試算</x:v>
      </x:c>
      <x:c r="E15" t="str">
        <x:v>200–1,000萬</x:v>
      </x:c>
      <x:c r="F15" t="str">
        <x:v>身故保額10%（最高依方案）</x:v>
      </x:c>
      <x:c r="G15" t="str">
        <x:v>含法傳最高100萬</x:v>
      </x:c>
      <x:c r="H15" t="str">
        <x:v>含</x:v>
      </x:c>
      <x:c r="I15" t="str">
        <x:v>每4小時6,000；保期最高24,000</x:v>
      </x:c>
      <x:c r="J15" t="str">
        <x:v>取消5萬／更改5萬</x:v>
      </x:c>
      <x:c r="K15" t="str">
        <x:v>延誤6,000；損失6,000；文件3,000</x:v>
      </x:c>
      <x:c r="L15" t="str">
        <x:v>依實際投保內容；官網方案另有旅綜保障</x:v>
      </x:c>
      <x:c r="M15" t="str">
        <x:v>臨櫃/郵寄；網投填航班可用快速延誤理賠</x:v>
      </x:c>
      <x:c r="N15" t="str">
        <x:v>A-｜雨季不便險均衡</x:v>
      </x:c>
      <x:c r="O15" t="str">
        <x:v>需另問Skyline/Kerchor是否承保</x:v>
      </x:c>
      <x:c r="P15" t="str">
        <x:v>動態試算，不硬估</x:v>
      </x:c>
      <x:c r="Q15" t="str">
        <x:v>https://ec.tfmi.com.tw/activity/202607/Index.aspx</x:v>
      </x:c>
    </x:row>
    <x:row r="16">
      <x:c r="A16" t="str">
        <x:v>新光產險</x:v>
      </x:c>
      <x:c r="B16" t="str">
        <x:v>東南亞方案B（價格型）</x:v>
      </x:c>
      <x:c r="C16" t="str">
        <x:v>官方明載50元/日起，且此示例以10日計算 → 約NT$500/人起</x:v>
      </x:c>
      <x:c r="D16" t="str">
        <x:v>本次應改用完整實際保期再試算</x:v>
      </x:c>
      <x:c r="E16" t="str">
        <x:v>300萬</x:v>
      </x:c>
      <x:c r="F16" t="str">
        <x:v>約身故保額10%</x:v>
      </x:c>
      <x:c r="G16" t="str">
        <x:v>30萬</x:v>
      </x:c>
      <x:c r="H16" t="str">
        <x:v>此低價示例不含法傳</x:v>
      </x:c>
      <x:c r="I16" t="str">
        <x:v>每4小時3,000；事故最高6,000</x:v>
      </x:c>
      <x:c r="J16" t="str">
        <x:v>方案B取消3萬；更高方案另有更高額度</x:v>
      </x:c>
      <x:c r="K16" t="str">
        <x:v>依方案；B低於尊爵C</x:v>
      </x:c>
      <x:c r="L16" t="str">
        <x:v>投保即享海外急難救助服務，官方標示10萬美元服務保障</x:v>
      </x:c>
      <x:c r="M16" t="str">
        <x:v>郵寄/分公司；符合快速延誤可簡訊上傳</x:v>
      </x:c>
      <x:c r="N16" t="str">
        <x:v>B｜便宜，但本次不建議只買這個低價示例</x:v>
      </x:c>
      <x:c r="O16" t="str">
        <x:v>低價B更要問活動承保；醫療與法傳不足</x:v>
      </x:c>
      <x:c r="P16" t="str">
        <x:v>10日官方公開起價</x:v>
      </x:c>
      <x:c r="Q16" t="str">
        <x:v>https://www.sk858.com.tw/products/ta/default</x:v>
      </x:c>
    </x:row>
    <x:row r="17">
      <x:c r="A17" t="str">
        <x:v>新光產險</x:v>
      </x:c>
      <x:c r="B17" t="str">
        <x:v>尊爵C（保障型）</x:v>
      </x:c>
      <x:c r="C17" t="str">
        <x:v>10日需官網即時試算</x:v>
      </x:c>
      <x:c r="D17" t="str">
        <x:v>待實際起訖時間試算</x:v>
      </x:c>
      <x:c r="E17" t="str">
        <x:v>1,000/1,200萬</x:v>
      </x:c>
      <x:c r="F17" t="str">
        <x:v>身故保額10%</x:v>
      </x:c>
      <x:c r="G17" t="str">
        <x:v>含法傳最高100萬</x:v>
      </x:c>
      <x:c r="H17" t="str">
        <x:v>含</x:v>
      </x:c>
      <x:c r="I17" t="str">
        <x:v>每4小時6,000；事故最高12,000</x:v>
      </x:c>
      <x:c r="J17" t="str">
        <x:v>取消8萬／更改6萬</x:v>
      </x:c>
      <x:c r="K17" t="str">
        <x:v>延誤6,000；損失6,000；文件3,000</x:v>
      </x:c>
      <x:c r="L17" t="str">
        <x:v>海外急難救助服務；官網標示10萬美元服務保障</x:v>
      </x:c>
      <x:c r="M17" t="str">
        <x:v>郵寄/分公司；快速班機延誤</x:v>
      </x:c>
      <x:c r="N17" t="str">
        <x:v>A-｜比B更適合本次</x:v>
      </x:c>
      <x:c r="O17" t="str">
        <x:v>需問zipline/大象活動；不要把尊爵C與B混看</x:v>
      </x:c>
      <x:c r="P17" t="str">
        <x:v>動態試算</x:v>
      </x:c>
      <x:c r="Q17" t="str">
        <x:v>https://www.sk858.com.tw/products/ta/default</x:v>
      </x:c>
    </x:row>
    <x:row r="18">
      <x:c r="A18" t="str">
        <x:v>新安東京海上</x:v>
      </x:c>
      <x:c r="B18" t="str">
        <x:v>國外旅平＋不便險自選</x:v>
      </x:c>
      <x:c r="C18" t="str">
        <x:v>10日需即時試算；官方公開東南亞5日NT$452起（不能直接×2）</x:v>
      </x:c>
      <x:c r="D18" t="str">
        <x:v>待實際起訖時間試算</x:v>
      </x:c>
      <x:c r="E18" t="str">
        <x:v>200–1,500萬；網路直投上限依頁面規則</x:v>
      </x:c>
      <x:c r="F18" t="str">
        <x:v>20–150萬可選</x:v>
      </x:c>
      <x:c r="G18" t="str">
        <x:v>可選海外突發疾病</x:v>
      </x:c>
      <x:c r="H18" t="str">
        <x:v>依所選附加條款</x:v>
      </x:c>
      <x:c r="I18" t="str">
        <x:v>可選4小時/6小時定額或實支型</x:v>
      </x:c>
      <x:c r="J18" t="str">
        <x:v>可選旅程取消／縮短／不便險</x:v>
      </x:c>
      <x:c r="K18" t="str">
        <x:v>有行李損失、延誤、文件損失等</x:v>
      </x:c>
      <x:c r="L18" t="str">
        <x:v>海外緊急救援400萬（試算頁）</x:v>
      </x:c>
      <x:c r="M18" t="str">
        <x:v>線上不便險理賠申報；一般依證明與單據</x:v>
      </x:c>
      <x:c r="N18" t="str">
        <x:v>A-｜方案彈性＋救援額度高</x:v>
      </x:c>
      <x:c r="O18" t="str">
        <x:v>官網特別有三鐵附加，但不代表zipline；一定要問</x:v>
      </x:c>
      <x:c r="P18" t="str">
        <x:v>5日公開例；10日動態</x:v>
      </x:c>
      <x:c r="Q18" t="str">
        <x:v>https://ebo.tmnewa.com.tw/tmnewa/portal/index</x:v>
      </x:c>
    </x:row>
    <x:row r="19">
      <x:c r="A19" t="str">
        <x:v>明台產險</x:v>
      </x:c>
      <x:c r="B19" t="str">
        <x:v>頭等晶鑽版</x:v>
      </x:c>
      <x:c r="C19" t="str">
        <x:v>官網目前顯示參考保費NT$852（頁面會依試算條件變；非固定10日價）</x:v>
      </x:c>
      <x:c r="D19" t="str">
        <x:v>待實際10/11日試算</x:v>
      </x:c>
      <x:c r="E19" t="str">
        <x:v>最高900萬</x:v>
      </x:c>
      <x:c r="F19" t="str">
        <x:v>90萬</x:v>
      </x:c>
      <x:c r="G19" t="str">
        <x:v>36萬</x:v>
      </x:c>
      <x:c r="H19" t="str">
        <x:v>依實際條款/方案確認</x:v>
      </x:c>
      <x:c r="I19" t="str">
        <x:v>定額6,000（方案頁）；可用快速延誤服務</x:v>
      </x:c>
      <x:c r="J19" t="str">
        <x:v>取消5萬／更改5萬</x:v>
      </x:c>
      <x:c r="K19" t="str">
        <x:v>延誤6,000；損失6,000；文件3,000</x:v>
      </x:c>
      <x:c r="L19" t="str">
        <x:v>緊急醫療運送150萬；遺體/骨灰90萬</x:v>
      </x:c>
      <x:c r="M19" t="str">
        <x:v>填航班＋帳戶可快速理賠；紙本亦可</x:v>
      </x:c>
      <x:c r="N19" t="str">
        <x:v>B+｜救援不錯，但突發疾病額度較低</x:v>
      </x:c>
      <x:c r="O19" t="str">
        <x:v>需另問高空滑索/大象</x:v>
      </x:c>
      <x:c r="P19" t="str">
        <x:v>官網即時頁面示例，不視為10日固定價</x:v>
      </x:c>
      <x:c r="Q19" t="str">
        <x:v>https://www.msig-mingtai.com.tw/ec/foreign-travel.html</x:v>
      </x:c>
    </x:row>
    <x:row r="20">
      <x:c r="A20" t="str">
        <x:v>泰安產險</x:v>
      </x:c>
      <x:c r="B20" t="str">
        <x:v>海外套餐C</x:v>
      </x:c>
      <x:c r="C20" t="str">
        <x:v>10日需官網即時試算；官方3日參考保費約NT$796/成人（不得直接比例外推）</x:v>
      </x:c>
      <x:c r="D20" t="str">
        <x:v>待實際起訖時間試算</x:v>
      </x:c>
      <x:c r="E20" t="str">
        <x:v>1,000萬</x:v>
      </x:c>
      <x:c r="F20" t="str">
        <x:v>100萬</x:v>
      </x:c>
      <x:c r="G20" t="str">
        <x:v>官網同頁不同區塊顯示約90–100萬，投保時以試算頁為準</x:v>
      </x:c>
      <x:c r="H20" t="str">
        <x:v>含法傳</x:v>
      </x:c>
      <x:c r="I20" t="str">
        <x:v>每4小時5,000；事故最高10,000；保期最多2事故</x:v>
      </x:c>
      <x:c r="J20" t="str">
        <x:v>取消8萬／更改6萬</x:v>
      </x:c>
      <x:c r="K20" t="str">
        <x:v>延誤5,000；損失6,000；文件3,000</x:v>
      </x:c>
      <x:c r="L20" t="str">
        <x:v>緊急救援250萬</x:v>
      </x:c>
      <x:c r="M20" t="str">
        <x:v>官網/客服理賠；事故證明＋共同文件</x:v>
      </x:c>
      <x:c r="N20" t="str">
        <x:v>A-｜額度均衡；投保時核對海突最新保額</x:v>
      </x:c>
      <x:c r="O20" t="str">
        <x:v>需問Skyline/Kerchor承保</x:v>
      </x:c>
      <x:c r="P20" t="str">
        <x:v>官方頁有方案額度，但10日動態</x:v>
      </x:c>
      <x:c r="Q20" t="str">
        <x:v>https://www.taian.com.tw/Travel/TravelProduct</x:v>
      </x:c>
    </x:row>
    <x:row r="21">
      <x:c r="A21" t="str">
        <x:v>安達產險 Chubb</x:v>
      </x:c>
      <x:c r="B21" t="str">
        <x:v>個人旅行平安保險</x:v>
      </x:c>
      <x:c r="C21" t="str">
        <x:v>10日需網路試算</x:v>
      </x:c>
      <x:c r="D21" t="str">
        <x:v>待實際起訖時間試算</x:v>
      </x:c>
      <x:c r="E21" t="str">
        <x:v>依選定方案</x:v>
      </x:c>
      <x:c r="F21" t="str">
        <x:v>依選定方案</x:v>
      </x:c>
      <x:c r="G21" t="str">
        <x:v>含住院/門診/急診；公開頁未列單一固定保額</x:v>
      </x:c>
      <x:c r="H21" t="str">
        <x:v>含法傳（官方說明含COVID等）</x:v>
      </x:c>
      <x:c r="I21" t="str">
        <x:v>依選定方案</x:v>
      </x:c>
      <x:c r="J21" t="str">
        <x:v>依選定方案</x:v>
      </x:c>
      <x:c r="K21" t="str">
        <x:v>依選定方案</x:v>
      </x:c>
      <x:c r="L21" t="str">
        <x:v>白金級海外急難援助，含醫療專機最高US$100,000</x:v>
      </x:c>
      <x:c r="M21" t="str">
        <x:v>電話通報→申請書＋文件郵寄；文件齊全且無調查15天內付款</x:v>
      </x:c>
      <x:c r="N21" t="str">
        <x:v>B+｜救援服務強，但需實際試算才好比價格/額度</x:v>
      </x:c>
      <x:c r="O21" t="str">
        <x:v>投保前直接問活動除外</x:v>
      </x:c>
      <x:c r="P21" t="str">
        <x:v>公開頁未提供10日固定價</x:v>
      </x:c>
      <x:c r="Q21" t="str">
        <x:v>https://www.chubb.com/tw-zh/personal/personal-travel-insurance.html</x:v>
      </x:c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</x:row>
    <x:row r="24">
      <x:c r="A24" t="str">
        <x:v>用途</x:v>
      </x:c>
      <x:c r="B24" t="str">
        <x:v>優先比較</x:v>
      </x:c>
      <x:c r="C24" t="str">
        <x:v>原因</x:v>
      </x:c>
      <x:c r="D24" t="str">
        <x:v>第二選擇</x:v>
      </x:c>
      <x:c r="E24" t="str">
        <x:v>原因</x:v>
      </x:c>
      <x:c r="F24" t="str">
        <x:v>價格策略</x:v>
      </x:c>
      <x:c r="G24" t="str">
        <x:v>投保前必問</x:v>
      </x:c>
      <x:c r="H24" t="str">
        <x:v>結論</x:v>
      </x:c>
      <x:c r="I24"/>
      <x:c r="J24"/>
      <x:c r="K24"/>
      <x:c r="L24"/>
      <x:c r="M24"/>
      <x:c r="N24"/>
      <x:c r="O24"/>
      <x:c r="P24"/>
      <x:c r="Q24"/>
    </x:row>
    <x:row r="25">
      <x:c r="A25" t="str">
        <x:v>整體均衡</x:v>
      </x:c>
      <x:c r="B25" t="str">
        <x:v>富邦PD1</x:v>
      </x:c>
      <x:c r="C25" t="str">
        <x:v>醫療、法傳、取消/更改、救援都完整</x:v>
      </x:c>
      <x:c r="D25" t="str">
        <x:v>國泰U3</x:v>
      </x:c>
      <x:c r="E25" t="str">
        <x:v>更改/急難救助額度強</x:v>
      </x:c>
      <x:c r="F25" t="str">
        <x:v>兩家都用本次實際時間試算</x:v>
      </x:c>
      <x:c r="G25" t="str">
        <x:v>Skyline與Kerchor是否承保</x:v>
      </x:c>
      <x:c r="H25" t="str">
        <x:v>先比這兩家實際報價</x:v>
      </x:c>
      <x:c r="I25"/>
      <x:c r="J25"/>
      <x:c r="K25"/>
      <x:c r="L25"/>
      <x:c r="M25"/>
      <x:c r="N25"/>
      <x:c r="O25"/>
      <x:c r="P25"/>
      <x:c r="Q25"/>
    </x:row>
    <x:row r="26">
      <x:c r="A26" t="str">
        <x:v>雨季/行程變更</x:v>
      </x:c>
      <x:c r="B26" t="str">
        <x:v>國泰U3</x:v>
      </x:c>
      <x:c r="C26" t="str">
        <x:v>取消/更改最高12萬</x:v>
      </x:c>
      <x:c r="D26" t="str">
        <x:v>富邦PD1</x:v>
      </x:c>
      <x:c r="E26" t="str">
        <x:v>取消/更改10萬＋班延高</x:v>
      </x:c>
      <x:c r="F26" t="str">
        <x:v>不要只比班機延誤定額</x:v>
      </x:c>
      <x:c r="G26" t="str">
        <x:v>颱風警報發布後才投保的限制</x:v>
      </x:c>
      <x:c r="H26" t="str">
        <x:v>越早投保越有價值</x:v>
      </x:c>
      <x:c r="I26"/>
      <x:c r="J26"/>
      <x:c r="K26"/>
      <x:c r="L26"/>
      <x:c r="M26"/>
      <x:c r="N26"/>
      <x:c r="O26"/>
      <x:c r="P26"/>
      <x:c r="Q26"/>
    </x:row>
    <x:row r="27">
      <x:c r="A27" t="str">
        <x:v>價格優先</x:v>
      </x:c>
      <x:c r="B27" t="str">
        <x:v>新光B</x:v>
      </x:c>
      <x:c r="C27" t="str">
        <x:v>10日官方約500/人起</x:v>
      </x:c>
      <x:c r="D27" t="str">
        <x:v>新安東京</x:v>
      </x:c>
      <x:c r="E27" t="str">
        <x:v>5日東南亞452起但10日需試算</x:v>
      </x:c>
      <x:c r="F27" t="str">
        <x:v>低價方案不要犧牲海外醫療</x:v>
      </x:c>
      <x:c r="G27" t="str">
        <x:v>法傳與救援額度</x:v>
      </x:c>
      <x:c r="H27" t="str">
        <x:v>新光B不建議作本次唯一保障</x:v>
      </x:c>
      <x:c r="I27"/>
      <x:c r="J27"/>
      <x:c r="K27"/>
      <x:c r="L27"/>
      <x:c r="M27"/>
      <x:c r="N27"/>
      <x:c r="O27"/>
      <x:c r="P27"/>
      <x:c r="Q27"/>
    </x:row>
    <x:row r="28">
      <x:c r="A28" t="str">
        <x:v>救援/山區</x:v>
      </x:c>
      <x:c r="B28" t="str">
        <x:v>新安東京</x:v>
      </x:c>
      <x:c r="C28" t="str">
        <x:v>海外緊急救援400萬</x:v>
      </x:c>
      <x:c r="D28" t="str">
        <x:v>國泰U3</x:v>
      </x:c>
      <x:c r="E28" t="str">
        <x:v>海外急難救助300萬</x:v>
      </x:c>
      <x:c r="F28" t="str">
        <x:v>比較是否須事前聯絡救援中心</x:v>
      </x:c>
      <x:c r="G28" t="str">
        <x:v>zipline是否屬除外活動</x:v>
      </x:c>
      <x:c r="H28" t="str">
        <x:v>山區活動比單純身故額度更重要</x:v>
      </x:c>
      <x:c r="I28"/>
      <x:c r="J28"/>
      <x:c r="K28"/>
      <x:c r="L28"/>
      <x:c r="M28"/>
      <x:c r="N28"/>
      <x:c r="O28"/>
      <x:c r="P28"/>
      <x:c r="Q28"/>
    </x:row>
    <x:row r="29">
      <x:c r="A29" t="str">
        <x:v>保單最終選擇</x:v>
      </x:c>
      <x:c r="B29" t="str">
        <x:v>—</x:v>
      </x:c>
      <x:c r="C29" t="str">
        <x:v>先取得兩人各自實際報價</x:v>
      </x:c>
      <x:c r="D29" t="str">
        <x:v>—</x:v>
      </x:c>
      <x:c r="E29" t="str">
        <x:v>再填13訂單付款</x:v>
      </x:c>
      <x:c r="F29" t="str">
        <x:v>保險費列旅行成本，不列40,000THB財力</x:v>
      </x:c>
      <x:c r="G29" t="str">
        <x:v>投保期間要完整到10/3晚返台</x:v>
      </x:c>
      <x:c r="H29" t="str">
        <x:v>不要只用『10日』文字判斷</x:v>
      </x:c>
      <x:c r="I29"/>
      <x:c r="J29"/>
      <x:c r="K29"/>
      <x:c r="L29"/>
      <x:c r="M29"/>
      <x:c r="N29"/>
      <x:c r="O29"/>
      <x:c r="P29"/>
      <x:c r="Q29"/>
    </x:row>
  </x:sheetData>
  <x:mergeCells>
    <x:mergeCell ref="A1:Q1"/>
    <x:mergeCell ref="A2:Q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旅遊保險理賠｜現場要拿什麼證明＋各公司申請方式</x:v>
      </x:c>
      <x:c r="B1"/>
      <x:c r="C1"/>
      <x:c r="D1"/>
      <x:c r="E1"/>
      <x:c r="F1"/>
      <x:c r="G1"/>
      <x:c r="H1"/>
      <x:c r="I1"/>
      <x:c r="J1"/>
      <x:c r="K1"/>
    </x:row>
    <x:row r="2">
      <x:c r="A2" t="str">
        <x:v>事故發生當下拿到證明，比回台後補件容易很多。這張建議出發前離線截圖。</x:v>
      </x:c>
      <x:c r="B2"/>
      <x:c r="C2"/>
      <x:c r="D2"/>
      <x:c r="E2"/>
      <x:c r="F2"/>
      <x:c r="G2"/>
      <x:c r="H2"/>
      <x:c r="I2"/>
      <x:c r="J2"/>
      <x:c r="K2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>
      <x:c r="A4" t="str">
        <x:v>事故</x:v>
      </x:c>
      <x:c r="B4" t="str">
        <x:v>現場第一步</x:v>
      </x:c>
      <x:c r="C4" t="str">
        <x:v>共同文件</x:v>
      </x:c>
      <x:c r="D4" t="str">
        <x:v>事故專屬證明</x:v>
      </x:c>
      <x:c r="E4" t="str">
        <x:v>一定保留的單據</x:v>
      </x:c>
      <x:c r="F4" t="str">
        <x:v>容易漏掉</x:v>
      </x:c>
      <x:c r="G4" t="str">
        <x:v>回台後怎麼送</x:v>
      </x:c>
      <x:c r="H4" t="str">
        <x:v>是否先聯絡保險公司</x:v>
      </x:c>
      <x:c r="I4" t="str">
        <x:v>優先</x:v>
      </x:c>
      <x:c r="J4" t="str">
        <x:v>建議存檔名稱</x:v>
      </x:c>
      <x:c r="K4" t="str">
        <x:v>備註</x:v>
      </x:c>
    </x:row>
    <x:row r="5">
      <x:c r="A5" t="str">
        <x:v>海外就醫</x:v>
      </x:c>
      <x:c r="B5" t="str">
        <x:v>先就醫；嚴重時打1669＋保險急難電話</x:v>
      </x:c>
      <x:c r="C5" t="str">
        <x:v>理賠申請書、身分/護照、存摺</x:v>
      </x:c>
      <x:c r="D5" t="str">
        <x:v>診斷書/住院證明、病歷摘要</x:v>
      </x:c>
      <x:c r="E5" t="str">
        <x:v>醫療費用明細、收據、藥費</x:v>
      </x:c>
      <x:c r="F5" t="str">
        <x:v>非英文文件可能需翻譯/認證</x:v>
      </x:c>
      <x:c r="G5" t="str">
        <x:v>依公司網路/郵寄/櫃檯</x:v>
      </x:c>
      <x:c r="H5" t="str">
        <x:v>重大住院/轉院先聯絡</x:v>
      </x:c>
      <x:c r="I5" t="str">
        <x:v>最高</x:v>
      </x:c>
      <x:c r="J5" t="str">
        <x:v>日期_醫院_診斷書.pdf</x:v>
      </x:c>
      <x:c r="K5" t="str">
        <x:v>若要醫療轉送，先打救援中心</x:v>
      </x:c>
    </x:row>
    <x:row r="6">
      <x:c r="A6" t="str">
        <x:v>意外受傷</x:v>
      </x:c>
      <x:c r="B6" t="str">
        <x:v>就醫並說明事故經過</x:v>
      </x:c>
      <x:c r="C6" t="str">
        <x:v>同上</x:v>
      </x:c>
      <x:c r="D6" t="str">
        <x:v>診斷書；必要時事故證明</x:v>
      </x:c>
      <x:c r="E6" t="str">
        <x:v>醫療收據</x:v>
      </x:c>
      <x:c r="F6" t="str">
        <x:v>Skyline/Kerchor事故要留業者紀錄</x:v>
      </x:c>
      <x:c r="G6" t="str">
        <x:v>依公司</x:v>
      </x:c>
      <x:c r="H6" t="str">
        <x:v>嚴重事故先聯絡</x:v>
      </x:c>
      <x:c r="I6" t="str">
        <x:v>最高</x:v>
      </x:c>
      <x:c r="J6" t="str">
        <x:v>日期_活動_事故.pdf</x:v>
      </x:c>
      <x:c r="K6" t="str">
        <x:v>活動承保需投保前先確認</x:v>
      </x:c>
    </x:row>
    <x:row r="7">
      <x:c r="A7" t="str">
        <x:v>班機延誤/取消</x:v>
      </x:c>
      <x:c r="B7" t="str">
        <x:v>向航空公司索取正式延誤/取消證明</x:v>
      </x:c>
      <x:c r="C7" t="str">
        <x:v>申請書、身分、存摺</x:v>
      </x:c>
      <x:c r="D7" t="str">
        <x:v>機票/登機證＋航空公司證明（時間/原因）</x:v>
      </x:c>
      <x:c r="E7" t="str">
        <x:v>若實支型：餐飲、住宿、機場交通</x:v>
      </x:c>
      <x:c r="F7" t="str">
        <x:v>不要只截航班App畫面</x:v>
      </x:c>
      <x:c r="G7" t="str">
        <x:v>快速理賠或一般申請</x:v>
      </x:c>
      <x:c r="H7" t="str">
        <x:v>通常不必，但先看保單</x:v>
      </x:c>
      <x:c r="I7" t="str">
        <x:v>最高</x:v>
      </x:c>
      <x:c r="J7" t="str">
        <x:v>日期_航班_延誤證明.pdf</x:v>
      </x:c>
      <x:c r="K7" t="str">
        <x:v>定額/實支所需文件不同</x:v>
      </x:c>
    </x:row>
    <x:row r="8">
      <x:c r="A8" t="str">
        <x:v>旅程更改</x:v>
      </x:c>
      <x:c r="B8" t="str">
        <x:v>保留原行程＋更改原因</x:v>
      </x:c>
      <x:c r="C8" t="str">
        <x:v>申請書、身分、存摺</x:v>
      </x:c>
      <x:c r="D8" t="str">
        <x:v>天災/交通/事故證明、原訂行程</x:v>
      </x:c>
      <x:c r="E8" t="str">
        <x:v>新增交通/住宿正本收據</x:v>
      </x:c>
      <x:c r="F8" t="str">
        <x:v>原行程與『無法退款』證明</x:v>
      </x:c>
      <x:c r="G8" t="str">
        <x:v>一般理賠</x:v>
      </x:c>
      <x:c r="H8" t="str">
        <x:v>重大更改可先問</x:v>
      </x:c>
      <x:c r="I8" t="str">
        <x:v>最高</x:v>
      </x:c>
      <x:c r="J8" t="str">
        <x:v>日期_旅程更改_證明.pdf</x:v>
      </x:c>
      <x:c r="K8" t="str">
        <x:v>雨季最實用項目之一</x:v>
      </x:c>
    </x:row>
    <x:row r="9">
      <x:c r="A9" t="str">
        <x:v>旅程取消</x:v>
      </x:c>
      <x:c r="B9" t="str">
        <x:v>先確認原因是否承保</x:v>
      </x:c>
      <x:c r="C9" t="str">
        <x:v>申請書、身分、存摺</x:v>
      </x:c>
      <x:c r="D9" t="str">
        <x:v>取消原因證明</x:v>
      </x:c>
      <x:c r="E9" t="str">
        <x:v>機票/住宿/活動損失單據</x:v>
      </x:c>
      <x:c r="F9" t="str">
        <x:v>預繳費用不可退款證明</x:v>
      </x:c>
      <x:c r="G9" t="str">
        <x:v>一般理賠</x:v>
      </x:c>
      <x:c r="H9" t="str">
        <x:v>出發前事故先問</x:v>
      </x:c>
      <x:c r="I9" t="str">
        <x:v>高</x:v>
      </x:c>
      <x:c r="J9" t="str">
        <x:v>日期_旅程取消.pdf</x:v>
      </x:c>
      <x:c r="K9" t="str">
        <x:v>不是任何取消原因都賠</x:v>
      </x:c>
    </x:row>
    <x:row r="10">
      <x:c r="A10" t="str">
        <x:v>行李延誤</x:v>
      </x:c>
      <x:c r="B10" t="str">
        <x:v>離開行李區前找航空公司櫃檯</x:v>
      </x:c>
      <x:c r="C10" t="str">
        <x:v>申請書、護照/身分</x:v>
      </x:c>
      <x:c r="D10" t="str">
        <x:v>PIR/行李延誤達6小時證明、行李條</x:v>
      </x:c>
      <x:c r="E10" t="str">
        <x:v>實支型需必要衣物/用品收據</x:v>
      </x:c>
      <x:c r="F10" t="str">
        <x:v>回台後才說行李晚到通常很難補證明</x:v>
      </x:c>
      <x:c r="G10" t="str">
        <x:v>快速/一般依公司</x:v>
      </x:c>
      <x:c r="H10" t="str">
        <x:v>通常不需</x:v>
      </x:c>
      <x:c r="I10" t="str">
        <x:v>高</x:v>
      </x:c>
      <x:c r="J10" t="str">
        <x:v>日期_行李延誤_PIR.pdf</x:v>
      </x:c>
      <x:c r="K10" t="str">
        <x:v>返台行李延誤有些方案不賠</x:v>
      </x:c>
    </x:row>
    <x:row r="11">
      <x:c r="A11" t="str">
        <x:v>行李損失/損壞</x:v>
      </x:c>
      <x:c r="B11" t="str">
        <x:v>機場立即報航空公司；竊盜另報警</x:v>
      </x:c>
      <x:c r="C11" t="str">
        <x:v>申請書、護照/身分</x:v>
      </x:c>
      <x:c r="D11" t="str">
        <x:v>PIR/航空事故證明；竊盜警方報案</x:v>
      </x:c>
      <x:c r="E11" t="str">
        <x:v>損失物購買證明如有</x:v>
      </x:c>
      <x:c r="F11" t="str">
        <x:v>不要先丟行李條/破損照片</x:v>
      </x:c>
      <x:c r="G11" t="str">
        <x:v>一般理賠</x:v>
      </x:c>
      <x:c r="H11" t="str">
        <x:v>重大損失可先問</x:v>
      </x:c>
      <x:c r="I11" t="str">
        <x:v>高</x:v>
      </x:c>
      <x:c r="J11" t="str">
        <x:v>日期_行李損失.pdf</x:v>
      </x:c>
      <x:c r="K11" t="str">
        <x:v>貴重物不要托運</x:v>
      </x:c>
    </x:row>
    <x:row r="12">
      <x:c r="A12" t="str">
        <x:v>護照/旅行文件遺失</x:v>
      </x:c>
      <x:c r="B12" t="str">
        <x:v>先報警，再聯絡駐外單位</x:v>
      </x:c>
      <x:c r="C12" t="str">
        <x:v>申請書、身分、存摺</x:v>
      </x:c>
      <x:c r="D12" t="str">
        <x:v>警方報案＋重新申辦旅行文件證明</x:v>
      </x:c>
      <x:c r="E12" t="str">
        <x:v>補辦/必要交通住宿收據</x:v>
      </x:c>
      <x:c r="F12" t="str">
        <x:v>報案證明一定要拿</x:v>
      </x:c>
      <x:c r="G12" t="str">
        <x:v>一般理賠</x:v>
      </x:c>
      <x:c r="H12" t="str">
        <x:v>建議先聯絡</x:v>
      </x:c>
      <x:c r="I12" t="str">
        <x:v>最高</x:v>
      </x:c>
      <x:c r="J12" t="str">
        <x:v>日期_護照遺失_報案.pdf</x:v>
      </x:c>
      <x:c r="K12" t="str">
        <x:v>另存護照影本與證件照</x:v>
      </x:c>
    </x:row>
    <x:row r="13">
      <x:c r="A13" t="str">
        <x:v>竊盜</x:v>
      </x:c>
      <x:c r="B13" t="str">
        <x:v>先確保安全→報警</x:v>
      </x:c>
      <x:c r="C13" t="str">
        <x:v>申請書、身分、存摺</x:v>
      </x:c>
      <x:c r="D13" t="str">
        <x:v>警方報案證明</x:v>
      </x:c>
      <x:c r="E13" t="str">
        <x:v>購買證明/損失清單</x:v>
      </x:c>
      <x:c r="F13" t="str">
        <x:v>現金/手機常有額外限額或除外</x:v>
      </x:c>
      <x:c r="G13" t="str">
        <x:v>一般理賠</x:v>
      </x:c>
      <x:c r="H13" t="str">
        <x:v>視金額</x:v>
      </x:c>
      <x:c r="I13" t="str">
        <x:v>高</x:v>
      </x:c>
      <x:c r="J13" t="str">
        <x:v>日期_竊盜_報案.pdf</x:v>
      </x:c>
      <x:c r="K13" t="str">
        <x:v>市集人多特別注意</x:v>
      </x:c>
    </x:row>
    <x:row r="14">
      <x:c r="A14"/>
      <x:c r="B14"/>
      <x:c r="C14"/>
      <x:c r="D14"/>
      <x:c r="E14"/>
      <x:c r="F14"/>
      <x:c r="G14"/>
      <x:c r="H14"/>
      <x:c r="I14"/>
      <x:c r="J14"/>
      <x:c r="K14"/>
    </x:row>
    <x:row r="15">
      <x:c r="A15"/>
      <x:c r="B15"/>
      <x:c r="C15"/>
      <x:c r="D15"/>
      <x:c r="E15"/>
      <x:c r="F15"/>
      <x:c r="G15"/>
      <x:c r="H15"/>
      <x:c r="I15"/>
      <x:c r="J15"/>
      <x:c r="K15"/>
    </x:row>
    <x:row r="16">
      <x:c r="A16" t="str">
        <x:v>公司</x:v>
      </x:c>
      <x:c r="B16" t="str">
        <x:v>主要理賠方式</x:v>
      </x:c>
      <x:c r="C16" t="str">
        <x:v>班機延誤快速服務</x:v>
      </x:c>
      <x:c r="D16" t="str">
        <x:v>一般需備</x:v>
      </x:c>
      <x:c r="E16" t="str">
        <x:v>客服/提醒</x:v>
      </x:c>
      <x:c r="F16" t="str">
        <x:v>官方理賠頁</x:v>
      </x:c>
      <x:c r="G16" t="str">
        <x:v>這趟使用建議</x:v>
      </x:c>
      <x:c r="H16" t="str">
        <x:v>理賠速度/特色</x:v>
      </x:c>
      <x:c r="I16"/>
      <x:c r="J16"/>
      <x:c r="K16"/>
    </x:row>
    <x:row r="17">
      <x:c r="A17" t="str">
        <x:v>國泰產險</x:v>
      </x:c>
      <x:c r="B17" t="str">
        <x:v>官網/櫃檯等依案件申請</x:v>
      </x:c>
      <x:c r="C17" t="str">
        <x:v>有一般定額/實支條款；依保單</x:v>
      </x:c>
      <x:c r="D17" t="str">
        <x:v>申請書、存摺、身分、機票/登機、航空證明；實支加單據</x:v>
      </x:c>
      <x:c r="E17" t="str">
        <x:v>文件分類很完整</x:v>
      </x:c>
      <x:c r="F17" t="str">
        <x:v>https://www.cathay-ins.com.tw/cathayins/personal/claim/travel/</x:v>
      </x:c>
      <x:c r="G17" t="str">
        <x:v>若選國泰，先把理賠頁存書籤</x:v>
      </x:c>
      <x:c r="H17" t="str">
        <x:v>各事故文件清單最明確</x:v>
      </x:c>
      <x:c r="I17"/>
      <x:c r="J17"/>
      <x:c r="K17"/>
    </x:row>
    <x:row r="18">
      <x:c r="A18" t="str">
        <x:v>富邦產險</x:v>
      </x:c>
      <x:c r="B18" t="str">
        <x:v>旅遊小管家/一般理賠</x:v>
      </x:c>
      <x:c r="C18" t="str">
        <x:v>有班機延誤快速理賠服務</x:v>
      </x:c>
      <x:c r="D18" t="str">
        <x:v>航空證明、登機/機票；更改另留原行程及新增交通住宿收據</x:v>
      </x:c>
      <x:c r="E18" t="str">
        <x:v>24h 0800-009-888</x:v>
      </x:c>
      <x:c r="F18" t="str">
        <x:v>https://www.fubon.com/insurance/b2c/content/online_service/index.html</x:v>
      </x:c>
      <x:c r="G18" t="str">
        <x:v>雨季若改行程，所有新增支出都留單據</x:v>
      </x:c>
      <x:c r="H18" t="str">
        <x:v>旅遊小管家整合度高</x:v>
      </x:c>
      <x:c r="I18"/>
      <x:c r="J18"/>
      <x:c r="K18"/>
    </x:row>
    <x:row r="19">
      <x:c r="A19" t="str">
        <x:v>新光產險</x:v>
      </x:c>
      <x:c r="B19" t="str">
        <x:v>下載申請書→郵寄或分公司</x:v>
      </x:c>
      <x:c r="C19" t="str">
        <x:v>投保符合條件可簡訊上傳帳戶/登機證</x:v>
      </x:c>
      <x:c r="D19" t="str">
        <x:v>申請書、身分；各事故再加航空/行李/報警文件</x:v>
      </x:c>
      <x:c r="E19" t="str">
        <x:v>+886-2-8979-2540 海外急難</x:v>
      </x:c>
      <x:c r="F19" t="str">
        <x:v>https://www.sk858.com.tw/products/ta/travel-claim</x:v>
      </x:c>
      <x:c r="G19" t="str">
        <x:v>如果買新光，出發前先確認快速理賠設定</x:v>
      </x:c>
      <x:c r="H19" t="str">
        <x:v>班延快速服務便利</x:v>
      </x:c>
      <x:c r="I19"/>
      <x:c r="J19"/>
      <x:c r="K19"/>
    </x:row>
    <x:row r="20">
      <x:c r="A20" t="str">
        <x:v>臺灣產物</x:v>
      </x:c>
      <x:c r="B20" t="str">
        <x:v>臨櫃/郵寄→補件→審核/賠付</x:v>
      </x:c>
      <x:c r="C20" t="str">
        <x:v>網投時填航班，可簡訊上傳登機證、護照、存摺</x:v>
      </x:c>
      <x:c r="D20" t="str">
        <x:v>共同：申請書、身分/護照、存摺；事故另加證明</x:v>
      </x:c>
      <x:c r="E20" t="str">
        <x:v>0809-068-888</x:v>
      </x:c>
      <x:c r="F20" t="str">
        <x:v>https://www.tfmi.com.tw/claims-Personal-Travel-and-inconvenience</x:v>
      </x:c>
      <x:c r="G20" t="str">
        <x:v>航班號碼投保時務必填對</x:v>
      </x:c>
      <x:c r="H20" t="str">
        <x:v>快速延誤理賠明確</x:v>
      </x:c>
      <x:c r="I20"/>
      <x:c r="J20"/>
      <x:c r="K20"/>
    </x:row>
    <x:row r="21">
      <x:c r="A21" t="str">
        <x:v>明台產險</x:v>
      </x:c>
      <x:c r="B21" t="str">
        <x:v>一般紙本/線上服務</x:v>
      </x:c>
      <x:c r="C21" t="str">
        <x:v>投保填航班＋銀行帳戶，延誤4h簡訊→回傳登機證→匯款</x:v>
      </x:c>
      <x:c r="D21" t="str">
        <x:v>紙本：登機證/電子機票、銀行、申請書、航空延誤證明</x:v>
      </x:c>
      <x:c r="E21" t="str">
        <x:v>24h理賠 0800-078-888</x:v>
      </x:c>
      <x:c r="F21" t="str">
        <x:v>https://www.msig-mingtai.com.tw/ec/travel-flight.html</x:v>
      </x:c>
      <x:c r="G21" t="str">
        <x:v>如果選明台，把航班與帳戶先填完整</x:v>
      </x:c>
      <x:c r="H21" t="str">
        <x:v>班延流程很順</x:v>
      </x:c>
      <x:c r="I21"/>
      <x:c r="J21"/>
      <x:c r="K21"/>
    </x:row>
    <x:row r="22">
      <x:c r="A22" t="str">
        <x:v>新安東京海上</x:v>
      </x:c>
      <x:c r="B22" t="str">
        <x:v>線上不便險申報/一般理賠</x:v>
      </x:c>
      <x:c r="C22" t="str">
        <x:v>依定額/實支方案</x:v>
      </x:c>
      <x:c r="D22" t="str">
        <x:v>定額班延：航空延誤證明；實支再加交通/餐食/住宿正本</x:v>
      </x:c>
      <x:c r="E22" t="str">
        <x:v>24h 0800-050-119</x:v>
      </x:c>
      <x:c r="F22" t="str">
        <x:v>https://www.tmnewa.com.tw/ec/contents/travel/travel-note.html</x:v>
      </x:c>
      <x:c r="G22" t="str">
        <x:v>若選實支型，所有必要支出都留正本</x:v>
      </x:c>
      <x:c r="H22" t="str">
        <x:v>可選定額/實支，彈性高</x:v>
      </x:c>
      <x:c r="I22"/>
      <x:c r="J22"/>
      <x:c r="K22"/>
    </x:row>
    <x:row r="23">
      <x:c r="A23" t="str">
        <x:v>安達產險 Chubb</x:v>
      </x:c>
      <x:c r="B23" t="str">
        <x:v>電話通報→取得申請書→郵寄文件→審核</x:v>
      </x:c>
      <x:c r="C23" t="str">
        <x:v>依所選保單</x:v>
      </x:c>
      <x:c r="D23" t="str">
        <x:v>醫療：診斷、收據、護照出入境；其他事故依清單</x:v>
      </x:c>
      <x:c r="E23" t="str">
        <x:v>旅平險 0800-656-068</x:v>
      </x:c>
      <x:c r="F23" t="str">
        <x:v>https://www.chubb.com/tw-zh/claims/accident-health-travel-insurance-claims.html</x:v>
      </x:c>
      <x:c r="G23" t="str">
        <x:v>重大醫療先打電話</x:v>
      </x:c>
      <x:c r="H23" t="str">
        <x:v>文件齊全且無需調查，官方稱15天內安排付款</x:v>
      </x:c>
      <x:c r="I23"/>
      <x:c r="J23"/>
      <x:c r="K23"/>
    </x:row>
    <x:row r="24">
      <x:c r="A24" t="str">
        <x:v>泰安產險</x:v>
      </x:c>
      <x:c r="B24" t="str">
        <x:v>官網/客服依保單申請</x:v>
      </x:c>
      <x:c r="C24" t="str">
        <x:v>依所選方案</x:v>
      </x:c>
      <x:c r="D24" t="str">
        <x:v>班延：登機/機票＋航空證明；其他事故保留相對應正式證明</x:v>
      </x:c>
      <x:c r="E24" t="str">
        <x:v>投保時下載最新版理賠文件</x:v>
      </x:c>
      <x:c r="F24" t="str">
        <x:v>https://www.taian.com.tw/Travel/TravelProduct</x:v>
      </x:c>
      <x:c r="G24" t="str">
        <x:v>若選泰安，投保後把保單內理賠文件清單另存</x:v>
      </x:c>
      <x:c r="H24" t="str">
        <x:v>方案額度明確，但需核對最新海突額度</x:v>
      </x:c>
      <x:c r="I24"/>
      <x:c r="J24"/>
      <x:c r="K24"/>
    </x:row>
  </x:sheetData>
  <x:mergeCells>
    <x:mergeCell ref="A1:K1"/>
    <x:mergeCell ref="A2:K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行李、航空與9/23一晚包</x:v>
      </x:c>
      <x:c r="B1"/>
      <x:c r="C1"/>
      <x:c r="D1"/>
      <x:c r="E1"/>
      <x:c r="F1"/>
      <x:c r="G1"/>
      <x:c r="H1"/>
    </x:row>
    <x:row r="2">
      <x:c r="A2" t="str">
        <x:v>9/23大件行李先送Himku；Chai Lai只帶一晚＋Kerchor所需。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分類</x:v>
      </x:c>
      <x:c r="B4" t="str">
        <x:v>物品/規則</x:v>
      </x:c>
      <x:c r="C4" t="str">
        <x:v>2人建議</x:v>
      </x:c>
      <x:c r="D4" t="str">
        <x:v>放哪裡</x:v>
      </x:c>
      <x:c r="E4" t="str">
        <x:v>9/23一晚包</x:v>
      </x:c>
      <x:c r="F4" t="str">
        <x:v>回程處理</x:v>
      </x:c>
      <x:c r="G4" t="str">
        <x:v>狀態</x:v>
      </x:c>
      <x:c r="H4" t="str">
        <x:v>來源/備註</x:v>
      </x:c>
    </x:row>
    <x:row r="5">
      <x:c r="A5" t="str">
        <x:v>證件</x:v>
      </x:c>
      <x:c r="B5" t="str">
        <x:v>護照</x:v>
      </x:c>
      <x:c r="C5" t="str">
        <x:v>2本＋影本</x:v>
      </x:c>
      <x:c r="D5" t="str">
        <x:v>隨身</x:v>
      </x:c>
      <x:c r="E5" t="str">
        <x:v>✓</x:v>
      </x:c>
      <x:c r="F5" t="str">
        <x:v>隨身</x:v>
      </x:c>
      <x:c r="G5" t="str">
        <x:v>待完成</x:v>
      </x:c>
      <x:c r="H5" t="str">
        <x:v>不可托運</x:v>
      </x:c>
    </x:row>
    <x:row r="6">
      <x:c r="A6" t="str">
        <x:v>入境</x:v>
      </x:c>
      <x:c r="B6" t="str">
        <x:v>TDAC＋財力＋回程/住宿</x:v>
      </x:c>
      <x:c r="C6" t="str">
        <x:v>離線PDF＋可立即出示資金</x:v>
      </x:c>
      <x:c r="D6" t="str">
        <x:v>隨身</x:v>
      </x:c>
      <x:c r="E6" t="str">
        <x:v>✓</x:v>
      </x:c>
      <x:c r="F6" t="str">
        <x:v>—</x:v>
      </x:c>
      <x:c r="G6" t="str">
        <x:v>待完成</x:v>
      </x:c>
      <x:c r="H6" t="str">
        <x:v>07泰國入境</x:v>
      </x:c>
    </x:row>
    <x:row r="7">
      <x:c r="A7" t="str">
        <x:v>3C</x:v>
      </x:c>
      <x:c r="B7" t="str">
        <x:v>行動電源</x:v>
      </x:c>
      <x:c r="C7" t="str">
        <x:v>每人最多2個；容量清楚</x:v>
      </x:c>
      <x:c r="D7" t="str">
        <x:v>手提</x:v>
      </x:c>
      <x:c r="E7" t="str">
        <x:v>✓</x:v>
      </x:c>
      <x:c r="F7" t="str">
        <x:v>手提</x:v>
      </x:c>
      <x:c r="G7" t="str">
        <x:v>待完成</x:v>
      </x:c>
      <x:c r="H7" t="str">
        <x:v>EVA/JX 2026規則</x:v>
      </x:c>
    </x:row>
    <x:row r="8">
      <x:c r="A8" t="str">
        <x:v>3C</x:v>
      </x:c>
      <x:c r="B8" t="str">
        <x:v>機上使用</x:v>
      </x:c>
      <x:c r="C8" t="str">
        <x:v>兩人都知道：不使用、不充電、不放頭頂櫃</x:v>
      </x:c>
      <x:c r="D8" t="str">
        <x:v>隨身</x:v>
      </x:c>
      <x:c r="E8" t="str">
        <x:v>✓</x:v>
      </x:c>
      <x:c r="F8" t="str">
        <x:v>同規則</x:v>
      </x:c>
      <x:c r="G8" t="str">
        <x:v>待完成</x:v>
      </x:c>
      <x:c r="H8" t="str">
        <x:v>EVA/STARLUX官方</x:v>
      </x:c>
    </x:row>
    <x:row r="9">
      <x:c r="A9" t="str">
        <x:v>網路</x:v>
      </x:c>
      <x:c r="B9" t="str">
        <x:v>AIS eSIM</x:v>
      </x:c>
      <x:c r="C9" t="str">
        <x:v>兩人各1張</x:v>
      </x:c>
      <x:c r="D9" t="str">
        <x:v>手機</x:v>
      </x:c>
      <x:c r="E9" t="str">
        <x:v>✓</x:v>
      </x:c>
      <x:c r="F9" t="str">
        <x:v>10/3備援</x:v>
      </x:c>
      <x:c r="G9" t="str">
        <x:v>待完成</x:v>
      </x:c>
      <x:c r="H9" t="str">
        <x:v>https://www.kkday.com/zh-tw/product/156018</x:v>
      </x:c>
    </x:row>
    <x:row r="10">
      <x:c r="A10" t="str">
        <x:v>Kerchor</x:v>
      </x:c>
      <x:c r="B10" t="str">
        <x:v>快乾/可弄髒衣</x:v>
      </x:c>
      <x:c r="C10" t="str">
        <x:v>每人1套</x:v>
      </x:c>
      <x:c r="D10" t="str">
        <x:v>一晚包</x:v>
      </x:c>
      <x:c r="E10" t="str">
        <x:v>✓</x:v>
      </x:c>
      <x:c r="F10" t="str">
        <x:v>—</x:v>
      </x:c>
      <x:c r="G10" t="str">
        <x:v>待完成</x:v>
      </x:c>
      <x:c r="H10" t="str">
        <x:v>大象活動</x:v>
      </x:c>
    </x:row>
    <x:row r="11">
      <x:c r="A11" t="str">
        <x:v>Kerchor</x:v>
      </x:c>
      <x:c r="B11" t="str">
        <x:v>替換衣物＋毛巾</x:v>
      </x:c>
      <x:c r="C11" t="str">
        <x:v>每人1套</x:v>
      </x:c>
      <x:c r="D11" t="str">
        <x:v>一晚包</x:v>
      </x:c>
      <x:c r="E11" t="str">
        <x:v>✓</x:v>
      </x:c>
      <x:c r="F11" t="str">
        <x:v>—</x:v>
      </x:c>
      <x:c r="G11" t="str">
        <x:v>待完成</x:v>
      </x:c>
      <x:c r="H11" t="str">
        <x:v>濕身備用</x:v>
      </x:c>
    </x:row>
    <x:row r="12">
      <x:c r="A12" t="str">
        <x:v>戶外</x:v>
      </x:c>
      <x:c r="B12" t="str">
        <x:v>包鞋</x:v>
      </x:c>
      <x:c r="C12" t="str">
        <x:v>2雙</x:v>
      </x:c>
      <x:c r="D12" t="str">
        <x:v>行李/一晚包</x:v>
      </x:c>
      <x:c r="E12" t="str">
        <x:v>✓</x:v>
      </x:c>
      <x:c r="F12" t="str">
        <x:v>—</x:v>
      </x:c>
      <x:c r="G12" t="str">
        <x:v>待完成</x:v>
      </x:c>
      <x:c r="H12" t="str">
        <x:v>Skyline</x:v>
      </x:c>
    </x:row>
    <x:row r="13">
      <x:c r="A13" t="str">
        <x:v>雨季</x:v>
      </x:c>
      <x:c r="B13" t="str">
        <x:v>輕量雨衣</x:v>
      </x:c>
      <x:c r="C13" t="str">
        <x:v>2件</x:v>
      </x:c>
      <x:c r="D13" t="str">
        <x:v>隨身</x:v>
      </x:c>
      <x:c r="E13" t="str">
        <x:v>✓</x:v>
      </x:c>
      <x:c r="F13" t="str">
        <x:v>✓</x:v>
      </x:c>
      <x:c r="G13" t="str">
        <x:v>待完成</x:v>
      </x:c>
      <x:c r="H13" t="str">
        <x:v>9月多雨</x:v>
      </x:c>
    </x:row>
    <x:row r="14">
      <x:c r="A14" t="str">
        <x:v>雨季</x:v>
      </x:c>
      <x:c r="B14" t="str">
        <x:v>折疊傘</x:v>
      </x:c>
      <x:c r="C14" t="str">
        <x:v>1–2把</x:v>
      </x:c>
      <x:c r="D14" t="str">
        <x:v>隨身</x:v>
      </x:c>
      <x:c r="E14" t="str">
        <x:v>✓</x:v>
      </x:c>
      <x:c r="F14" t="str">
        <x:v>✓</x:v>
      </x:c>
      <x:c r="G14" t="str">
        <x:v>待完成</x:v>
      </x:c>
      <x:c r="H14" t="str">
        <x:v>市區用</x:v>
      </x:c>
    </x:row>
    <x:row r="15">
      <x:c r="A15" t="str">
        <x:v>健康</x:v>
      </x:c>
      <x:c r="B15" t="str">
        <x:v>防蚊液</x:v>
      </x:c>
      <x:c r="C15" t="str">
        <x:v>1–2瓶</x:v>
      </x:c>
      <x:c r="D15" t="str">
        <x:v>依液體規定</x:v>
      </x:c>
      <x:c r="E15" t="str">
        <x:v>✓</x:v>
      </x:c>
      <x:c r="F15" t="str">
        <x:v>✓</x:v>
      </x:c>
      <x:c r="G15" t="str">
        <x:v>待完成</x:v>
      </x:c>
      <x:c r="H15" t="str">
        <x:v>接觸大象前手部避免殘留</x:v>
      </x:c>
    </x:row>
    <x:row r="16">
      <x:c r="A16" t="str">
        <x:v>健康</x:v>
      </x:c>
      <x:c r="B16" t="str">
        <x:v>常用/處方藥</x:v>
      </x:c>
      <x:c r="C16" t="str">
        <x:v>足量、原包裝</x:v>
      </x:c>
      <x:c r="D16" t="str">
        <x:v>隨身</x:v>
      </x:c>
      <x:c r="E16" t="str">
        <x:v>✓</x:v>
      </x:c>
      <x:c r="F16" t="str">
        <x:v>✓</x:v>
      </x:c>
      <x:c r="G16" t="str">
        <x:v>待完成</x:v>
      </x:c>
      <x:c r="H16" t="str">
        <x:v>先查Thai FDA</x:v>
      </x:c>
    </x:row>
    <x:row r="17">
      <x:c r="A17" t="str">
        <x:v>金流</x:v>
      </x:c>
      <x:c r="B17" t="str">
        <x:v>財力證明與日常現金</x:v>
      </x:c>
      <x:c r="C17" t="str">
        <x:v>分開保管</x:v>
      </x:c>
      <x:c r="D17" t="str">
        <x:v>隨身分散</x:v>
      </x:c>
      <x:c r="E17" t="str">
        <x:v>✓</x:v>
      </x:c>
      <x:c r="F17" t="str">
        <x:v>✓</x:v>
      </x:c>
      <x:c r="G17" t="str">
        <x:v>待完成</x:v>
      </x:c>
      <x:c r="H17" t="str">
        <x:v>40,000 THB家庭標準非日常錢包</x:v>
      </x:c>
    </x:row>
    <x:row r="18">
      <x:c r="A18" t="str">
        <x:v>行李</x:v>
      </x:c>
      <x:c r="B18" t="str">
        <x:v>Himku大件行李</x:v>
      </x:c>
      <x:c r="C18" t="str">
        <x:v>預計2件</x:v>
      </x:c>
      <x:c r="D18" t="str">
        <x:v>9/23機場寄送</x:v>
      </x:c>
      <x:c r="E18" t="str">
        <x:v>×</x:v>
      </x:c>
      <x:c r="F18" t="str">
        <x:v>10/3托運</x:v>
      </x:c>
      <x:c r="G18" t="str">
        <x:v>待完成</x:v>
      </x:c>
      <x:c r="H18" t="str">
        <x:v>AIRPORTELs 349 THB/件起</x:v>
      </x:c>
    </x:row>
    <x:row r="19">
      <x:c r="A19" t="str">
        <x:v>購物</x:v>
      </x:c>
      <x:c r="B19" t="str">
        <x:v>折疊袋/緩衝包材</x:v>
      </x:c>
      <x:c r="C19" t="str">
        <x:v>2個＋少量</x:v>
      </x:c>
      <x:c r="D19" t="str">
        <x:v>大件行李</x:v>
      </x:c>
      <x:c r="E19" t="str">
        <x:v>×</x:v>
      </x:c>
      <x:c r="F19" t="str">
        <x:v>✓</x:v>
      </x:c>
      <x:c r="G19" t="str">
        <x:v>待完成</x:v>
      </x:c>
      <x:c r="H19" t="str">
        <x:v>陶器/藤編/香氛</x:v>
      </x:c>
    </x:row>
    <x:row r="20">
      <x:c r="A20" t="str">
        <x:v>回程</x:v>
      </x:c>
      <x:c r="B20" t="str">
        <x:v>行李秤</x:v>
      </x:c>
      <x:c r="C20" t="str">
        <x:v>1個</x:v>
      </x:c>
      <x:c r="D20" t="str">
        <x:v>大件行李</x:v>
      </x:c>
      <x:c r="E20" t="str">
        <x:v>×</x:v>
      </x:c>
      <x:c r="F20" t="str">
        <x:v>✓</x:v>
      </x:c>
      <x:c r="G20" t="str">
        <x:v>待完成</x:v>
      </x:c>
      <x:c r="H20" t="str">
        <x:v>10/2晚先秤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eSIM與網路｜KKday AIS 產品156018</x:v>
      </x:c>
      <x:c r="B1"/>
      <x:c r="C1"/>
      <x:c r="D1"/>
      <x:c r="E1"/>
      <x:c r="F1"/>
      <x:c r="G1"/>
      <x:c r="H1"/>
    </x:row>
    <x:row r="2">
      <x:c r="A2" t="str">
        <x:v>你指定的方案已完整整合；最大問題是10日方案對11天旅程的最後一天缺口。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項目</x:v>
      </x:c>
      <x:c r="B4" t="str">
        <x:v>KKday AIS資訊</x:v>
      </x:c>
      <x:c r="C4" t="str">
        <x:v>你們怎麼做</x:v>
      </x:c>
      <x:c r="D4" t="str">
        <x:v>2人需求</x:v>
      </x:c>
      <x:c r="E4" t="str">
        <x:v>費用</x:v>
      </x:c>
      <x:c r="F4" t="str">
        <x:v>風險</x:v>
      </x:c>
      <x:c r="G4" t="str">
        <x:v>狀態</x:v>
      </x:c>
      <x:c r="H4" t="str">
        <x:v>來源</x:v>
      </x:c>
    </x:row>
    <x:row r="5">
      <x:c r="A5" t="str">
        <x:v>電信商/網路</x:v>
      </x:c>
      <x:c r="B5" t="str">
        <x:v>AIS本地eSIM；5G/4G；可熱點分享</x:v>
      </x:c>
      <x:c r="C5" t="str">
        <x:v>兩人各1張，比單張熱點更有備援</x:v>
      </x:c>
      <x:c r="D5" t="str">
        <x:v>2張</x:v>
      </x:c>
      <x:c r="E5" t="str">
        <x:v>動態</x:v>
      </x:c>
      <x:c r="F5" t="str">
        <x:v>手機相容性</x:v>
      </x:c>
      <x:c r="G5" t="str">
        <x:v>待完成</x:v>
      </x:c>
      <x:c r="H5" t="str">
        <x:v>https://www.kkday.com/zh-tw/product/156018</x:v>
      </x:c>
    </x:row>
    <x:row r="6">
      <x:c r="A6" t="str">
        <x:v>10日方案</x:v>
      </x:c>
      <x:c r="B6" t="str">
        <x:v>30GB；商品頁標示2026/9/30前啟用可升級為30GB後持續15Mbps無限流量</x:v>
      </x:c>
      <x:c r="C6" t="str">
        <x:v>9/23抵泰再連AIS啟動</x:v>
      </x:c>
      <x:c r="D6" t="str">
        <x:v>2份</x:v>
      </x:c>
      <x:c r="E6" t="str">
        <x:v>動態</x:v>
      </x:c>
      <x:c r="F6" t="str">
        <x:v>優惠可能變</x:v>
      </x:c>
      <x:c r="G6" t="str">
        <x:v>待完成</x:v>
      </x:c>
      <x:c r="H6" t="str">
        <x:v>https://www.kkday.com/zh-tw/product/156018</x:v>
      </x:c>
    </x:row>
    <x:row r="7">
      <x:c r="A7" t="str">
        <x:v>實名</x:v>
      </x:c>
      <x:c r="B7" t="str">
        <x:v>2025/2起海外旅客需實名</x:v>
      </x:c>
      <x:c r="C7" t="str">
        <x:v>出發前24小時內完成較穩妥</x:v>
      </x:c>
      <x:c r="D7" t="str">
        <x:v>2人護照</x:v>
      </x:c>
      <x:c r="E7" t="str">
        <x:v>含方案</x:v>
      </x:c>
      <x:c r="F7" t="str">
        <x:v>資料錯誤</x:v>
      </x:c>
      <x:c r="G7" t="str">
        <x:v>待完成</x:v>
      </x:c>
      <x:c r="H7" t="str">
        <x:v>https://www.kkday.com/zh-tw/product/156018</x:v>
      </x:c>
    </x:row>
    <x:row r="8">
      <x:c r="A8" t="str">
        <x:v>安裝</x:v>
      </x:c>
      <x:c r="B8" t="str">
        <x:v>App一鍵/QR/手動；QR綁定後不要刪</x:v>
      </x:c>
      <x:c r="C8" t="str">
        <x:v>先截圖ICCID/QR</x:v>
      </x:c>
      <x:c r="D8" t="str">
        <x:v>2台手機</x:v>
      </x:c>
      <x:c r="E8" t="str">
        <x:v>—</x:v>
      </x:c>
      <x:c r="F8" t="str">
        <x:v>刪除後不能重掃</x:v>
      </x:c>
      <x:c r="G8" t="str">
        <x:v>待完成</x:v>
      </x:c>
      <x:c r="H8" t="str">
        <x:v>https://www.kkday.com/zh-tw/product/156018</x:v>
      </x:c>
    </x:row>
    <x:row r="9">
      <x:c r="A9" t="str">
        <x:v>加值</x:v>
      </x:c>
      <x:c r="B9" t="str">
        <x:v>商品頁標示不能加值</x:v>
      </x:c>
      <x:c r="C9" t="str">
        <x:v>不要期待第11天靠加值續命</x:v>
      </x:c>
      <x:c r="D9" t="str">
        <x:v>—</x:v>
      </x:c>
      <x:c r="E9" t="str">
        <x:v>—</x:v>
      </x:c>
      <x:c r="F9" t="str">
        <x:v>最後一天缺口</x:v>
      </x:c>
      <x:c r="G9" t="str">
        <x:v>待完成</x:v>
      </x:c>
      <x:c r="H9" t="str">
        <x:v>https://www.kkday.com/zh-tw/product/156018</x:v>
      </x:c>
    </x:row>
    <x:row r="10">
      <x:c r="A10" t="str">
        <x:v>通話</x:v>
      </x:c>
      <x:c r="B10" t="str">
        <x:v>10日方案含AIS網內通話＋100THB話費；不支援SMS發送</x:v>
      </x:c>
      <x:c r="C10" t="str">
        <x:v>原台灣門號保留收驗證簡訊</x:v>
      </x:c>
      <x:c r="D10" t="str">
        <x:v>2人</x:v>
      </x:c>
      <x:c r="E10" t="str">
        <x:v>含方案</x:v>
      </x:c>
      <x:c r="F10" t="str">
        <x:v>國際通話另確認</x:v>
      </x:c>
      <x:c r="G10" t="str">
        <x:v>待完成</x:v>
      </x:c>
      <x:c r="H10" t="str">
        <x:v>https://www.kkday.com/zh-tw/product/156018</x:v>
      </x:c>
    </x:row>
    <x:row r="11">
      <x:c r="A11" t="str">
        <x:v>旅程天數差</x:v>
      </x:c>
      <x:c r="B11" t="str">
        <x:v>9/23–10/3是11個曆日</x:v>
      </x:c>
      <x:c r="C11" t="str">
        <x:v>10/3備案：飯店Wi-Fi→CNX Wi-Fi；最好另有台灣門號1日漫遊或短期第二eSIM</x:v>
      </x:c>
      <x:c r="D11" t="str">
        <x:v>兩人皆準備</x:v>
      </x:c>
      <x:c r="E11" t="str">
        <x:v>視備案</x:v>
      </x:c>
      <x:c r="F11" t="str">
        <x:v>回程叫車/登機證需要網路</x:v>
      </x:c>
      <x:c r="G11" t="str">
        <x:v>待完成</x:v>
      </x:c>
      <x:c r="H11" t="str">
        <x:v>本行程推算</x:v>
      </x:c>
    </x:row>
    <x:row r="12">
      <x:c r="A12" t="str">
        <x:v>相容性</x:v>
      </x:c>
      <x:c r="B12" t="str">
        <x:v>KKday提醒各國版本不同；台灣購入Samsung特別確認eSIM支援</x:v>
      </x:c>
      <x:c r="C12" t="str">
        <x:v>購買前檢查EID/eSIM</x:v>
      </x:c>
      <x:c r="D12" t="str">
        <x:v>2台</x:v>
      </x:c>
      <x:c r="E12" t="str">
        <x:v>—</x:v>
      </x:c>
      <x:c r="F12" t="str">
        <x:v>QR發出後可能不可退</x:v>
      </x:c>
      <x:c r="G12" t="str">
        <x:v>待完成</x:v>
      </x:c>
      <x:c r="H12" t="str">
        <x:v>https://www.kkday.com/zh-tw/product/156018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11天每日總覽｜正常A、雨天B、疲累C</x:v>
      </x:c>
      <x:c r="B1"/>
      <x:c r="C1"/>
      <x:c r="D1"/>
      <x:c r="E1"/>
      <x:c r="F1"/>
      <x:c r="G1"/>
      <x:c r="H1"/>
      <x:c r="I1"/>
      <x:c r="J1"/>
      <x:c r="K1"/>
    </x:row>
    <x:row r="2">
      <x:c r="A2" t="str">
        <x:v>每天只抓一條主線；費用由10行程明細自動彙總。</x:v>
      </x:c>
      <x:c r="B2"/>
      <x:c r="C2"/>
      <x:c r="D2"/>
      <x:c r="E2"/>
      <x:c r="F2"/>
      <x:c r="G2"/>
      <x:c r="H2"/>
      <x:c r="I2"/>
      <x:c r="J2"/>
      <x:c r="K2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>
      <x:c r="A4" t="str">
        <x:v>日期</x:v>
      </x:c>
      <x:c r="B4" t="str">
        <x:v>星期</x:v>
      </x:c>
      <x:c r="C4" t="str">
        <x:v>主題</x:v>
      </x:c>
      <x:c r="D4" t="str">
        <x:v>A計畫正常</x:v>
      </x:c>
      <x:c r="E4" t="str">
        <x:v>B計畫雨天</x:v>
      </x:c>
      <x:c r="F4" t="str">
        <x:v>C計畫疲累/延誤</x:v>
      </x:c>
      <x:c r="G4" t="str">
        <x:v>最重要提醒</x:v>
      </x:c>
      <x:c r="H4" t="str">
        <x:v>2人低THB</x:v>
      </x:c>
      <x:c r="I4" t="str">
        <x:v>2人高THB</x:v>
      </x:c>
      <x:c r="J4" t="str">
        <x:v>已知TWD</x:v>
      </x:c>
      <x:c r="K4" t="str">
        <x:v>建議</x:v>
      </x:c>
    </x:row>
    <x:row r="5">
      <x:c r="A5" t="n">
        <x:v>46288</x:v>
      </x:c>
      <x:c r="B5" t="str">
        <x:v>三</x:v>
      </x:c>
      <x:c r="C5" t="str">
        <x:v>抵達＋山區</x:v>
      </x:c>
      <x:c r="D5" t="str">
        <x:v>入境→寄行李→Chai Lai</x:v>
      </x:c>
      <x:c r="E5" t="str">
        <x:v>直接接駁，不排Central</x:v>
      </x:c>
      <x:c r="F5" t="str">
        <x:v>取消一切加碼，入住休息</x:v>
      </x:c>
      <x:c r="G5" t="str">
        <x:v>TDAC＋財力＋接駁優先</x:v>
      </x:c>
      <x:c r="H5" t="n">
        <x:f>SUMIFS('10行程明細'!$M$5:$M$60,'10行程明細'!$A$5:$A$60,A5)</x:f>
        <x:v>1898</x:v>
      </x:c>
      <x:c r="I5" t="n">
        <x:f>SUMIFS('10行程明細'!$N$5:$N$60,'10行程明細'!$A$5:$A$60,A5)</x:f>
        <x:v>2698</x:v>
      </x:c>
      <x:c r="J5" t="n">
        <x:f>SUMIFS('10行程明細'!$O$5:$O$60,'10行程明細'!$A$5:$A$60,A5)</x:f>
        <x:v>1739</x:v>
      </x:c>
      <x:c r="K5" t="str">
        <x:v>第一天不要塞景點</x:v>
      </x:c>
    </x:row>
    <x:row r="6">
      <x:c r="A6" t="n">
        <x:v>46289</x:v>
      </x:c>
      <x:c r="B6" t="str">
        <x:v>四</x:v>
      </x:c>
      <x:c r="C6" t="str">
        <x:v>大象＋市區</x:v>
      </x:c>
      <x:c r="D6" t="str">
        <x:v>雙條車→Kerchor→Himku</x:v>
      </x:c>
      <x:c r="E6" t="str">
        <x:v>停辦則MAIIAM/古城博物館＋按摩</x:v>
      </x:c>
      <x:c r="F6" t="str">
        <x:v>活動後只入住休息</x:v>
      </x:c>
      <x:c r="G6" t="str">
        <x:v>前一晚把雙條車定好</x:v>
      </x:c>
      <x:c r="H6" t="n">
        <x:f>SUMIFS('10行程明細'!$M$5:$M$60,'10行程明細'!$A$5:$A$60,A6)</x:f>
        <x:v>1400</x:v>
      </x:c>
      <x:c r="I6" t="n">
        <x:f>SUMIFS('10行程明細'!$N$5:$N$60,'10行程明細'!$A$5:$A$60,A6)</x:f>
        <x:v>3800</x:v>
      </x:c>
      <x:c r="J6" t="n">
        <x:f>SUMIFS('10行程明細'!$O$5:$O$60,'10行程明細'!$A$5:$A$60,A6)</x:f>
        <x:v>18652</x:v>
      </x:c>
      <x:c r="K6" t="str">
        <x:v>晚上銀廟/市場/按摩三選一</x:v>
      </x:c>
    </x:row>
    <x:row r="7">
      <x:c r="A7" t="n">
        <x:v>46290</x:v>
      </x:c>
      <x:c r="B7" t="str">
        <x:v>五</x:v>
      </x:c>
      <x:c r="C7" t="str">
        <x:v>Skyline</x:v>
      </x:c>
      <x:c r="D7" t="str">
        <x:v>Skyline→Warorot→按摩</x:v>
      </x:c>
      <x:c r="E7" t="str">
        <x:v>停辦則MAIIAM＋One Nimman/SPA</x:v>
      </x:c>
      <x:c r="F7" t="str">
        <x:v>Skyline回來只吃飯</x:v>
      </x:c>
      <x:c r="G7" t="str">
        <x:v>包鞋＋健康限制</x:v>
      </x:c>
      <x:c r="H7" t="n">
        <x:f>SUMIFS('10行程明細'!$M$5:$M$60,'10行程明細'!$A$5:$A$60,A7)</x:f>
        <x:v>6060</x:v>
      </x:c>
      <x:c r="I7" t="n">
        <x:f>SUMIFS('10行程明細'!$N$5:$N$60,'10行程明細'!$A$5:$A$60,A7)</x:f>
        <x:v>7700</x:v>
      </x:c>
      <x:c r="J7" t="n">
        <x:f>SUMIFS('10行程明細'!$O$5:$O$60,'10行程明細'!$A$5:$A$60,A7)</x:f>
        <x:v>0</x:v>
      </x:c>
      <x:c r="K7" t="str">
        <x:v>不鎖死傍晚咖啡</x:v>
      </x:c>
    </x:row>
    <x:row r="8">
      <x:c r="A8" t="n">
        <x:v>46291</x:v>
      </x:c>
      <x:c r="B8" t="str">
        <x:v>六</x:v>
      </x:c>
      <x:c r="C8" t="str">
        <x:v>手作＋夜市</x:v>
      </x:c>
      <x:c r="D8" t="str">
        <x:v>Chamcha→Meena→週六夜市</x:v>
      </x:c>
      <x:c r="E8" t="str">
        <x:v>MAIIAM→Meena→商場/雨小再夜市</x:v>
      </x:c>
      <x:c r="F8" t="str">
        <x:v>Chamcha＋Meena後休息</x:v>
      </x:c>
      <x:c r="G8" t="str">
        <x:v>東側與夜市分兩段</x:v>
      </x:c>
      <x:c r="H8" t="n">
        <x:f>SUMIFS('10行程明細'!$M$5:$M$60,'10行程明細'!$A$5:$A$60,A8)</x:f>
        <x:v>980</x:v>
      </x:c>
      <x:c r="I8" t="n">
        <x:f>SUMIFS('10行程明細'!$N$5:$N$60,'10行程明細'!$A$5:$A$60,A8)</x:f>
        <x:v>2380</x:v>
      </x:c>
      <x:c r="J8" t="n">
        <x:f>SUMIFS('10行程明細'!$O$5:$O$60,'10行程明細'!$A$5:$A$60,A8)</x:f>
        <x:v>0</x:v>
      </x:c>
      <x:c r="K8" t="str">
        <x:v>下午不要再塞太多</x:v>
      </x:c>
    </x:row>
    <x:row r="9">
      <x:c r="A9" t="n">
        <x:v>46292</x:v>
      </x:c>
      <x:c r="B9" t="str">
        <x:v>日</x:v>
      </x:c>
      <x:c r="C9" t="str">
        <x:v>市場日</x:v>
      </x:c>
      <x:c r="D9" t="str">
        <x:v>Jing Jai→一個次市集→Sunday Market</x:v>
      </x:c>
      <x:c r="E9" t="str">
        <x:v>Jing Jai縮短→City Arts＋Lanna→按摩</x:v>
      </x:c>
      <x:c r="F9" t="str">
        <x:v>Jing Jai＋Sunday Market，中間休息</x:v>
      </x:c>
      <x:c r="G9" t="str">
        <x:v>小市集只選一個</x:v>
      </x:c>
      <x:c r="H9" t="n">
        <x:f>SUMIFS('10行程明細'!$M$5:$M$60,'10行程明細'!$A$5:$A$60,A9)</x:f>
        <x:v>2000</x:v>
      </x:c>
      <x:c r="I9" t="n">
        <x:f>SUMIFS('10行程明細'!$N$5:$N$60,'10行程明細'!$A$5:$A$60,A9)</x:f>
        <x:v>4900</x:v>
      </x:c>
      <x:c r="J9" t="n">
        <x:f>SUMIFS('10行程明細'!$O$5:$O$60,'10行程明細'!$A$5:$A$60,A9)</x:f>
        <x:v>0</x:v>
      </x:c>
      <x:c r="K9" t="str">
        <x:v>不要全部打卡</x:v>
      </x:c>
    </x:row>
    <x:row r="10">
      <x:c r="A10" t="n">
        <x:v>46293</x:v>
      </x:c>
      <x:c r="B10" t="str">
        <x:v>一</x:v>
      </x:c>
      <x:c r="C10" t="str">
        <x:v>Chang Moi＋SPA</x:v>
      </x:c>
      <x:c r="D10" t="str">
        <x:v>市場→藤編→清曼寺→Fah Lanna</x:v>
      </x:c>
      <x:c r="E10" t="str">
        <x:v>市場室內＋咖啡→SPA</x:v>
      </x:c>
      <x:c r="F10" t="str">
        <x:v>早午餐＋SPA</x:v>
      </x:c>
      <x:c r="G10" t="str">
        <x:v>週一部分館休</x:v>
      </x:c>
      <x:c r="H10" t="n">
        <x:f>SUMIFS('10行程明細'!$M$5:$M$60,'10行程明細'!$A$5:$A$60,A10)</x:f>
        <x:v>2300</x:v>
      </x:c>
      <x:c r="I10" t="n">
        <x:f>SUMIFS('10行程明細'!$N$5:$N$60,'10行程明細'!$A$5:$A$60,A10)</x:f>
        <x:v>5200</x:v>
      </x:c>
      <x:c r="J10" t="n">
        <x:f>SUMIFS('10行程明細'!$O$5:$O$60,'10行程明細'!$A$5:$A$60,A10)</x:f>
        <x:v>0</x:v>
      </x:c>
      <x:c r="K10" t="str">
        <x:v>適合恢復日</x:v>
      </x:c>
    </x:row>
    <x:row r="11">
      <x:c r="A11" t="n">
        <x:v>46294</x:v>
      </x:c>
      <x:c r="B11" t="str">
        <x:v>二</x:v>
      </x:c>
      <x:c r="C11" t="str">
        <x:v>古寺＋咖啡</x:v>
      </x:c>
      <x:c r="D11" t="str">
        <x:v>Khao Soi→帕邢→Akha→柴迪隆</x:v>
      </x:c>
      <x:c r="E11" t="str">
        <x:v>咖啡/One Nimman＋按摩</x:v>
      </x:c>
      <x:c r="F11" t="str">
        <x:v>Khao Soi＋兩寺</x:v>
      </x:c>
      <x:c r="G11" t="str">
        <x:v>週二博物館雨備有限</x:v>
      </x:c>
      <x:c r="H11" t="n">
        <x:f>SUMIFS('10行程明細'!$M$5:$M$60,'10行程明細'!$A$5:$A$60,A11)</x:f>
        <x:v>1490</x:v>
      </x:c>
      <x:c r="I11" t="n">
        <x:f>SUMIFS('10行程明細'!$N$5:$N$60,'10行程明細'!$A$5:$A$60,A11)</x:f>
        <x:v>4650</x:v>
      </x:c>
      <x:c r="J11" t="n">
        <x:f>SUMIFS('10行程明細'!$O$5:$O$60,'10行程明細'!$A$5:$A$60,A11)</x:f>
        <x:v>0</x:v>
      </x:c>
      <x:c r="K11" t="str">
        <x:v>餐飲不要三間全吃</x:v>
      </x:c>
    </x:row>
    <x:row r="12">
      <x:c r="A12" t="n">
        <x:v>46295</x:v>
      </x:c>
      <x:c r="B12" t="str">
        <x:v>三</x:v>
      </x:c>
      <x:c r="C12" t="str">
        <x:v>預約午餐</x:v>
      </x:c>
      <x:c r="D12" t="str">
        <x:v>咖啡→B Samcook→塔佩→Night Bazaar</x:v>
      </x:c>
      <x:c r="E12" t="str">
        <x:v>City Arts＋Lanna→B Samcook→按摩</x:v>
      </x:c>
      <x:c r="F12" t="str">
        <x:v>保留B Samcook，下午自由</x:v>
      </x:c>
      <x:c r="G12" t="str">
        <x:v>11:30是唯一固定點</x:v>
      </x:c>
      <x:c r="H12" t="n">
        <x:f>SUMIFS('10行程明細'!$M$5:$M$60,'10行程明細'!$A$5:$A$60,A12)</x:f>
        <x:v>860</x:v>
      </x:c>
      <x:c r="I12" t="n">
        <x:f>SUMIFS('10行程明細'!$N$5:$N$60,'10行程明細'!$A$5:$A$60,A12)</x:f>
        <x:v>2480</x:v>
      </x:c>
      <x:c r="J12" t="n">
        <x:f>SUMIFS('10行程明細'!$O$5:$O$60,'10行程明細'!$A$5:$A$60,A12)</x:f>
        <x:v>0</x:v>
      </x:c>
      <x:c r="K12" t="str">
        <x:v>適合補漏店家</x:v>
      </x:c>
    </x:row>
    <x:row r="13">
      <x:c r="A13" t="n">
        <x:v>46296</x:v>
      </x:c>
      <x:c r="B13" t="str">
        <x:v>四</x:v>
      </x:c>
      <x:c r="C13" t="str">
        <x:v>藝術村＋尼曼</x:v>
      </x:c>
      <x:c r="D13" t="str">
        <x:v>Baan Kang Wat→Nimman→White Market</x:v>
      </x:c>
      <x:c r="E13" t="str">
        <x:v>One Nimman/MAYA＋按摩</x:v>
      </x:c>
      <x:c r="F13" t="str">
        <x:v>藝術村或Nimman二選一</x:v>
      </x:c>
      <x:c r="G13" t="str">
        <x:v>購物液體/易碎注意</x:v>
      </x:c>
      <x:c r="H13" t="n">
        <x:f>SUMIFS('10行程明細'!$M$5:$M$60,'10行程明細'!$A$5:$A$60,A13)</x:f>
        <x:v>1800</x:v>
      </x:c>
      <x:c r="I13" t="n">
        <x:f>SUMIFS('10行程明細'!$N$5:$N$60,'10行程明細'!$A$5:$A$60,A13)</x:f>
        <x:v>4100</x:v>
      </x:c>
      <x:c r="J13" t="n">
        <x:f>SUMIFS('10行程明細'!$O$5:$O$60,'10行程明細'!$A$5:$A$60,A13)</x:f>
        <x:v>0</x:v>
      </x:c>
      <x:c r="K13" t="str">
        <x:v>不跨區追小店</x:v>
      </x:c>
    </x:row>
    <x:row r="14">
      <x:c r="A14" t="n">
        <x:v>46297</x:v>
      </x:c>
      <x:c r="B14" t="str">
        <x:v>五</x:v>
      </x:c>
      <x:c r="C14" t="str">
        <x:v>採買＋收尾</x:v>
      </x:c>
      <x:c r="D14" t="str">
        <x:v>Warorot→Jing Jai若確認→Baan Landai</x:v>
      </x:c>
      <x:c r="E14" t="str">
        <x:v>Warorot室內→MAIIAM/One Nimman</x:v>
      </x:c>
      <x:c r="F14" t="str">
        <x:v>Warorot＋晚餐，下午打包</x:v>
      </x:c>
      <x:c r="G14" t="str">
        <x:v>Friday活動仍待公告</x:v>
      </x:c>
      <x:c r="H14" t="n">
        <x:f>SUMIFS('10行程明細'!$M$5:$M$60,'10行程明細'!$A$5:$A$60,A14)</x:f>
        <x:v>1600</x:v>
      </x:c>
      <x:c r="I14" t="n">
        <x:f>SUMIFS('10行程明細'!$N$5:$N$60,'10行程明細'!$A$5:$A$60,A14)</x:f>
        <x:v>3900</x:v>
      </x:c>
      <x:c r="J14" t="n">
        <x:f>SUMIFS('10行程明細'!$O$5:$O$60,'10行程明細'!$A$5:$A$60,A14)</x:f>
        <x:v>0</x:v>
      </x:c>
      <x:c r="K14" t="str">
        <x:v>最後一晚不追店</x:v>
      </x:c>
    </x:row>
    <x:row r="15">
      <x:c r="A15" t="n">
        <x:v>46298</x:v>
      </x:c>
      <x:c r="B15" t="str">
        <x:v>六</x:v>
      </x:c>
      <x:c r="C15" t="str">
        <x:v>回程</x:v>
      </x:c>
      <x:c r="D15" t="str">
        <x:v>早餐→短按摩可選→CNX→JX752</x:v>
      </x:c>
      <x:c r="E15" t="str">
        <x:v>飯店早餐後提早機場</x:v>
      </x:c>
      <x:c r="F15" t="str">
        <x:v>直接機場</x:v>
      </x:c>
      <x:c r="G15" t="str">
        <x:v>eSIM可能上午到期</x:v>
      </x:c>
      <x:c r="H15" t="n">
        <x:f>SUMIFS('10行程明細'!$M$5:$M$60,'10行程明細'!$A$5:$A$60,A15)</x:f>
        <x:v>850</x:v>
      </x:c>
      <x:c r="I15" t="n">
        <x:f>SUMIFS('10行程明細'!$N$5:$N$60,'10行程明細'!$A$5:$A$60,A15)</x:f>
        <x:v>1650</x:v>
      </x:c>
      <x:c r="J15" t="n">
        <x:f>SUMIFS('10行程明細'!$O$5:$O$60,'10行程明細'!$A$5:$A$60,A15)</x:f>
        <x:v>0</x:v>
      </x:c>
      <x:c r="K15" t="str">
        <x:v>航班最高優先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每日行程明細｜A計畫＋雨天處理＋費用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</x:row>
    <x:row r="2">
      <x:c r="A2" t="str">
        <x:v>費用均以2人為基準；THB與TWD分開。價格性質會標示固定、起價、估算或待確認。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</x:row>
    <x:row r="4">
      <x:c r="A4" t="str">
        <x:v>日期</x:v>
      </x:c>
      <x:c r="B4" t="str">
        <x:v>星期</x:v>
      </x:c>
      <x:c r="C4" t="str">
        <x:v>時間</x:v>
      </x:c>
      <x:c r="D4" t="str">
        <x:v>類型</x:v>
      </x:c>
      <x:c r="E4" t="str">
        <x:v>優先</x:v>
      </x:c>
      <x:c r="F4" t="str">
        <x:v>行程/地點</x:v>
      </x:c>
      <x:c r="G4" t="str">
        <x:v>區域</x:v>
      </x:c>
      <x:c r="H4" t="str">
        <x:v>建議安排</x:v>
      </x:c>
      <x:c r="I4" t="str">
        <x:v>雨天/取消處理</x:v>
      </x:c>
      <x:c r="J4" t="str">
        <x:v>準備/攜帶</x:v>
      </x:c>
      <x:c r="K4" t="str">
        <x:v>注意事項</x:v>
      </x:c>
      <x:c r="L4" t="str">
        <x:v>價格性質</x:v>
      </x:c>
      <x:c r="M4" t="str">
        <x:v>2人低THB</x:v>
      </x:c>
      <x:c r="N4" t="str">
        <x:v>2人高THB</x:v>
      </x:c>
      <x:c r="O4" t="str">
        <x:v>已知TWD</x:v>
      </x:c>
      <x:c r="P4" t="str">
        <x:v>費用說明</x:v>
      </x:c>
      <x:c r="Q4" t="str">
        <x:v>來源</x:v>
      </x:c>
      <x:c r="R4" t="str">
        <x:v>信心</x:v>
      </x:c>
    </x:row>
    <x:row r="5">
      <x:c r="A5" t="n">
        <x:v>46288</x:v>
      </x:c>
      <x:c r="B5" t="str">
        <x:v>三</x:v>
      </x:c>
      <x:c r="C5" t="str">
        <x:v>07:40–10:25</x:v>
      </x:c>
      <x:c r="D5" t="str">
        <x:v>航班</x:v>
      </x:c>
      <x:c r="E5" t="str">
        <x:v>必要</x:v>
      </x:c>
      <x:c r="F5" t="str">
        <x:v>BR257 TPE→CNX</x:v>
      </x:c>
      <x:c r="G5" t="str">
        <x:v>桃園→清邁</x:v>
      </x:c>
      <x:c r="H5" t="str">
        <x:v>提早到機場；機上休息，抵達後先完成入境與領行李。</x:v>
      </x:c>
      <x:c r="I5" t="str">
        <x:v>不適用</x:v>
      </x:c>
      <x:c r="J5" t="str">
        <x:v>護照、TDAC、財力、回程票、住宿資料</x:v>
      </x:c>
      <x:c r="K5" t="str">
        <x:v>抵達後改泰國時間UTC+7。</x:v>
      </x:c>
      <x:c r="L5" t="str">
        <x:v>依訂單</x:v>
      </x:c>
      <x:c r="M5" t="n">
        <x:v>0</x:v>
      </x:c>
      <x:c r="N5" t="n">
        <x:v>0</x:v>
      </x:c>
      <x:c r="O5" t="n">
        <x:v>0</x:v>
      </x:c>
      <x:c r="P5" t="str">
        <x:v>機票價格未提供，請補13訂單付款。</x:v>
      </x:c>
      <x:c r="Q5" t="str">
        <x:v>EVA訂單</x:v>
      </x:c>
      <x:c r="R5" t="str">
        <x:v>高</x:v>
      </x:c>
    </x:row>
    <x:row r="6">
      <x:c r="A6" t="n">
        <x:v>46288</x:v>
      </x:c>
      <x:c r="B6" t="str">
        <x:v>三</x:v>
      </x:c>
      <x:c r="C6" t="str">
        <x:v>10:25–12:00</x:v>
      </x:c>
      <x:c r="D6" t="str">
        <x:v>入境</x:v>
      </x:c>
      <x:c r="E6" t="str">
        <x:v>必要</x:v>
      </x:c>
      <x:c r="F6" t="str">
        <x:v>CNX入境＋領行李＋海關</x:v>
      </x:c>
      <x:c r="G6" t="str">
        <x:v>CNX</x:v>
      </x:c>
      <x:c r="H6" t="str">
        <x:v>移民→行李→海關；重要文件全部離線可開。</x:v>
      </x:c>
      <x:c r="I6" t="str">
        <x:v>不適用</x:v>
      </x:c>
      <x:c r="J6" t="str">
        <x:v>TDAC、護照、財力證明</x:v>
      </x:c>
      <x:c r="K6" t="str">
        <x:v>財力：20,000THB/人或40,000THB/家庭。</x:v>
      </x:c>
      <x:c r="L6" t="str">
        <x:v>規定</x:v>
      </x:c>
      <x:c r="M6" t="n">
        <x:v>0</x:v>
      </x:c>
      <x:c r="N6" t="n">
        <x:v>0</x:v>
      </x:c>
      <x:c r="O6" t="n">
        <x:v>0</x:v>
      </x:c>
      <x:c r="P6" t="str">
        <x:v>財力不是旅行支出。</x:v>
      </x:c>
      <x:c r="Q6" t="str">
        <x:v>https://washingtondc.thaiembassy.org/en/page/visaexempt-voajul2024?form=MG0AV3</x:v>
      </x:c>
      <x:c r="R6" t="str">
        <x:v>高</x:v>
      </x:c>
    </x:row>
    <x:row r="7">
      <x:c r="A7" t="n">
        <x:v>46288</x:v>
      </x:c>
      <x:c r="B7" t="str">
        <x:v>三</x:v>
      </x:c>
      <x:c r="C7" t="str">
        <x:v>11:30–12:30</x:v>
      </x:c>
      <x:c r="D7" t="str">
        <x:v>行李</x:v>
      </x:c>
      <x:c r="E7" t="str">
        <x:v>必要</x:v>
      </x:c>
      <x:c r="F7" t="str">
        <x:v>機場大件行李寄送→Himku</x:v>
      </x:c>
      <x:c r="G7" t="str">
        <x:v>CNX</x:v>
      </x:c>
      <x:c r="H7" t="str">
        <x:v>2件大行李送9/24起入住的市區飯店；只留一晚包。</x:v>
      </x:c>
      <x:c r="I7" t="str">
        <x:v>室內，不受雨影響</x:v>
      </x:c>
      <x:c r="J7" t="str">
        <x:v>Himku地址、訂房姓名、行李牌</x:v>
      </x:c>
      <x:c r="K7" t="str">
        <x:v>先取得Himku可代收文字確認；保留收據。</x:v>
      </x:c>
      <x:c r="L7" t="str">
        <x:v>官方起價</x:v>
      </x:c>
      <x:c r="M7" t="n">
        <x:v>698</x:v>
      </x:c>
      <x:c r="N7" t="n">
        <x:v>698</x:v>
      </x:c>
      <x:c r="O7" t="n">
        <x:v>0</x:v>
      </x:c>
      <x:c r="P7" t="str">
        <x:v>AIRPORTELs 349THB/件起，以2件估。</x:v>
      </x:c>
      <x:c r="Q7" t="str">
        <x:v>https://www.airportels.asia/branch/luggage-service-chiang-mai-airport/</x:v>
      </x:c>
      <x:c r="R7" t="str">
        <x:v>高</x:v>
      </x:c>
    </x:row>
    <x:row r="8">
      <x:c r="A8" t="n">
        <x:v>46288</x:v>
      </x:c>
      <x:c r="B8" t="str">
        <x:v>三</x:v>
      </x:c>
      <x:c r="C8" t="str">
        <x:v>依飯店安排</x:v>
      </x:c>
      <x:c r="D8" t="str">
        <x:v>接駁</x:v>
      </x:c>
      <x:c r="E8" t="str">
        <x:v>必要</x:v>
      </x:c>
      <x:c r="F8" t="str">
        <x:v>Chai Lai Orchid接駁</x:v>
      </x:c>
      <x:c r="G8" t="str">
        <x:v>CNX→Mae Wang</x:v>
      </x:c>
      <x:c r="H8" t="str">
        <x:v>依飯店指定地點上車；接駁優先於Central。</x:v>
      </x:c>
      <x:c r="I8" t="str">
        <x:v>豪雨依飯店通知</x:v>
      </x:c>
      <x:c r="J8" t="str">
        <x:v>一晚包、雨衣</x:v>
      </x:c>
      <x:c r="K8" t="str">
        <x:v>若接駁時間早，直接取消Central。</x:v>
      </x:c>
      <x:c r="L8" t="str">
        <x:v>待確認</x:v>
      </x:c>
      <x:c r="M8" t="n">
        <x:v>800</x:v>
      </x:c>
      <x:c r="N8" t="n">
        <x:v>1200</x:v>
      </x:c>
      <x:c r="O8" t="n">
        <x:v>0</x:v>
      </x:c>
      <x:c r="P8" t="str">
        <x:v>官方交通頁不同車型價；以你的訂單為準。</x:v>
      </x:c>
      <x:c r="Q8" t="str">
        <x:v>https://chailaiorchid.com/location/</x:v>
      </x:c>
      <x:c r="R8" t="str">
        <x:v>中</x:v>
      </x:c>
    </x:row>
    <x:row r="9">
      <x:c r="A9" t="n">
        <x:v>46288</x:v>
      </x:c>
      <x:c r="B9" t="str">
        <x:v>三</x:v>
      </x:c>
      <x:c r="C9" t="str">
        <x:v>14:00後</x:v>
      </x:c>
      <x:c r="D9" t="str">
        <x:v>住宿</x:v>
      </x:c>
      <x:c r="E9" t="str">
        <x:v>必要</x:v>
      </x:c>
      <x:c r="F9" t="str">
        <x:v>Chai Lai Orchid入住</x:v>
      </x:c>
      <x:c r="G9" t="str">
        <x:v>Mae Wang</x:v>
      </x:c>
      <x:c r="H9" t="str">
        <x:v>入住、休息、確認隔日雙條車；晚餐在住宿附近。</x:v>
      </x:c>
      <x:c r="I9" t="str">
        <x:v>雨天直接住宿內休息/按摩</x:v>
      </x:c>
      <x:c r="J9" t="str">
        <x:v>薄外套、防蚊、拖鞋</x:v>
      </x:c>
      <x:c r="K9" t="str">
        <x:v>接觸大象前避免手部防曬/防蚊殘留。</x:v>
      </x:c>
      <x:c r="L9" t="str">
        <x:v>已知TWD</x:v>
      </x:c>
      <x:c r="M9" t="n">
        <x:v>0</x:v>
      </x:c>
      <x:c r="N9" t="n">
        <x:v>0</x:v>
      </x:c>
      <x:c r="O9" t="n">
        <x:v>1739</x:v>
      </x:c>
      <x:c r="P9" t="str">
        <x:v>原始資料住宿TWD1,739。</x:v>
      </x:c>
      <x:c r="Q9" t="str">
        <x:v>https://chailaiorchid.com/info/</x:v>
      </x:c>
      <x:c r="R9" t="str">
        <x:v>高</x:v>
      </x:c>
    </x:row>
    <x:row r="10">
      <x:c r="A10" t="n">
        <x:v>46288</x:v>
      </x:c>
      <x:c r="B10" t="str">
        <x:v>三</x:v>
      </x:c>
      <x:c r="C10" t="str">
        <x:v>晚間</x:v>
      </x:c>
      <x:c r="D10" t="str">
        <x:v>餐飲</x:v>
      </x:c>
      <x:c r="E10" t="str">
        <x:v>推薦</x:v>
      </x:c>
      <x:c r="F10" t="str">
        <x:v>Chai Lai晚餐＋早休</x:v>
      </x:c>
      <x:c r="G10" t="str">
        <x:v>住宿內</x:v>
      </x:c>
      <x:c r="H10" t="str">
        <x:v>不拉回市區，為隔日保留體力。</x:v>
      </x:c>
      <x:c r="I10" t="str">
        <x:v>雨天不影響</x:v>
      </x:c>
      <x:c r="J10" t="str">
        <x:v>現金</x:v>
      </x:c>
      <x:c r="K10" t="str">
        <x:v>山區叫車/網路選擇少。</x:v>
      </x:c>
      <x:c r="L10" t="str">
        <x:v>估算</x:v>
      </x:c>
      <x:c r="M10" t="n">
        <x:v>400</x:v>
      </x:c>
      <x:c r="N10" t="n">
        <x:v>800</x:v>
      </x:c>
      <x:c r="O10" t="n">
        <x:v>0</x:v>
      </x:c>
      <x:c r="P10" t="str">
        <x:v>2人餐飲估算。</x:v>
      </x:c>
      <x:c r="Q10" t="str">
        <x:v>—</x:v>
      </x:c>
      <x:c r="R10" t="str">
        <x:v>中</x:v>
      </x:c>
    </x:row>
    <x:row r="11">
      <x:c r="A11" t="n">
        <x:v>46289</x:v>
      </x:c>
      <x:c r="B11" t="str">
        <x:v>四</x:v>
      </x:c>
      <x:c r="C11" t="str">
        <x:v>早上</x:v>
      </x:c>
      <x:c r="D11" t="str">
        <x:v>交通</x:v>
      </x:c>
      <x:c r="E11" t="str">
        <x:v>必要</x:v>
      </x:c>
      <x:c r="F11" t="str">
        <x:v>Chai Lai→Kerchor雙條車</x:v>
      </x:c>
      <x:c r="G11" t="str">
        <x:v>Mae Wang</x:v>
      </x:c>
      <x:c r="H11" t="str">
        <x:v>退房後請櫃台代叫，直達園區或KKday指定集合點。</x:v>
      </x:c>
      <x:c r="I11" t="str">
        <x:v>大雨前一晚問業者是否照常</x:v>
      </x:c>
      <x:c r="J11" t="str">
        <x:v>KKday憑證、地圖定位</x:v>
      </x:c>
      <x:c r="K11" t="str">
        <x:v>至少留30–45分緩衝。</x:v>
      </x:c>
      <x:c r="L11" t="str">
        <x:v>估算</x:v>
      </x:c>
      <x:c r="M11" t="n">
        <x:v>300</x:v>
      </x:c>
      <x:c r="N11" t="n">
        <x:v>500</x:v>
      </x:c>
      <x:c r="O11" t="n">
        <x:v>0</x:v>
      </x:c>
      <x:c r="P11" t="str">
        <x:v>短程雙條車規劃估算，非固定價。</x:v>
      </x:c>
      <x:c r="Q11" t="str">
        <x:v>—</x:v>
      </x:c>
      <x:c r="R11" t="str">
        <x:v>中</x:v>
      </x:c>
    </x:row>
    <x:row r="12">
      <x:c r="A12" t="n">
        <x:v>46289</x:v>
      </x:c>
      <x:c r="B12" t="str">
        <x:v>四</x:v>
      </x:c>
      <x:c r="C12" t="str">
        <x:v>約7–8小時</x:v>
      </x:c>
      <x:c r="D12" t="str">
        <x:v>活動</x:v>
      </x:c>
      <x:c r="E12" t="str">
        <x:v>必要</x:v>
      </x:c>
      <x:c r="F12" t="str">
        <x:v>Kerchor Elephant Eco Park一日遊</x:v>
      </x:c>
      <x:c r="G12" t="str">
        <x:v>Mae Wang</x:v>
      </x:c>
      <x:c r="H12" t="str">
        <x:v>依一日遊方案；結束搭活動接駁回Himku/市區落點。</x:v>
      </x:c>
      <x:c r="I12" t="str">
        <x:v>一般雨可能照常；若業者停辦改MAIIAM/古城博物館＋按摩。</x:v>
      </x:c>
      <x:c r="J12" t="str">
        <x:v>快乾衣、替換衣、毛巾、水鞋、雨衣</x:v>
      </x:c>
      <x:c r="K12" t="str">
        <x:v>回程填Himku英文地址；去程不靠Kerchor市區接送。</x:v>
      </x:c>
      <x:c r="L12" t="str">
        <x:v>KKday起價</x:v>
      </x:c>
      <x:c r="M12" t="n">
        <x:v>0</x:v>
      </x:c>
      <x:c r="N12" t="n">
        <x:v>0</x:v>
      </x:c>
      <x:c r="O12" t="n">
        <x:v>2312</x:v>
      </x:c>
      <x:c r="P12" t="str">
        <x:v>商品頁起價NT$1,156/人；實際一日遊以訂單為準。</x:v>
      </x:c>
      <x:c r="Q12" t="str">
        <x:v>https://www.kkday.com/zh-tw/product/25082-kerchor-elephant-eco-park-half-day-tour-chiang-mai-thailand</x:v>
      </x:c>
      <x:c r="R12" t="str">
        <x:v>中</x:v>
      </x:c>
    </x:row>
    <x:row r="13">
      <x:c r="A13" t="n">
        <x:v>46289</x:v>
      </x:c>
      <x:c r="B13" t="str">
        <x:v>四</x:v>
      </x:c>
      <x:c r="C13" t="str">
        <x:v>下午</x:v>
      </x:c>
      <x:c r="D13" t="str">
        <x:v>住宿</x:v>
      </x:c>
      <x:c r="E13" t="str">
        <x:v>必要</x:v>
      </x:c>
      <x:c r="F13" t="str">
        <x:v>Himku Hotel入住（9/24–10/3）</x:v>
      </x:c>
      <x:c r="G13" t="str">
        <x:v>Chang Moi</x:v>
      </x:c>
      <x:c r="H13" t="str">
        <x:v>活動接駁回市區後取前一天寄達行李、入住休息。</x:v>
      </x:c>
      <x:c r="I13" t="str">
        <x:v>室內</x:v>
      </x:c>
      <x:c r="J13" t="str">
        <x:v>護照、訂房憑證</x:v>
      </x:c>
      <x:c r="K13" t="str">
        <x:v>確認押金/門禁；原資料有水流偏小評論。</x:v>
      </x:c>
      <x:c r="L13" t="str">
        <x:v>已知TWD</x:v>
      </x:c>
      <x:c r="M13" t="n">
        <x:v>0</x:v>
      </x:c>
      <x:c r="N13" t="n">
        <x:v>0</x:v>
      </x:c>
      <x:c r="O13" t="n">
        <x:v>16340</x:v>
      </x:c>
      <x:c r="P13" t="str">
        <x:v>原始資料9晚TWD16,340。</x:v>
      </x:c>
      <x:c r="Q13" t="str">
        <x:v>原始訂房</x:v>
      </x:c>
      <x:c r="R13" t="str">
        <x:v>高</x:v>
      </x:c>
    </x:row>
    <x:row r="14">
      <x:c r="A14" t="n">
        <x:v>46289</x:v>
      </x:c>
      <x:c r="B14" t="str">
        <x:v>四</x:v>
      </x:c>
      <x:c r="C14" t="str">
        <x:v>傍晚</x:v>
      </x:c>
      <x:c r="D14" t="str">
        <x:v>餐飲</x:v>
      </x:c>
      <x:c r="E14" t="str">
        <x:v>可調整</x:v>
      </x:c>
      <x:c r="F14" t="str">
        <x:v>Neng Roasted Pork / Joost Smoothies</x:v>
      </x:c>
      <x:c r="G14" t="str">
        <x:v>市區</x:v>
      </x:c>
      <x:c r="H14" t="str">
        <x:v>活動後先洗澡補水，再依體力選一。</x:v>
      </x:c>
      <x:c r="I14" t="str">
        <x:v>大雨可外送</x:v>
      </x:c>
      <x:c r="J14" t="str">
        <x:v>外送App</x:v>
      </x:c>
      <x:c r="K14" t="str">
        <x:v>不排不可取消晚餐。</x:v>
      </x:c>
      <x:c r="L14" t="str">
        <x:v>估算</x:v>
      </x:c>
      <x:c r="M14" t="n">
        <x:v>200</x:v>
      </x:c>
      <x:c r="N14" t="n">
        <x:v>600</x:v>
      </x:c>
      <x:c r="O14" t="n">
        <x:v>0</x:v>
      </x:c>
      <x:c r="P14" t="str">
        <x:v>2人。</x:v>
      </x:c>
      <x:c r="Q14" t="str">
        <x:v>—</x:v>
      </x:c>
      <x:c r="R14" t="str">
        <x:v>中</x:v>
      </x:c>
    </x:row>
    <x:row r="15">
      <x:c r="A15" t="n">
        <x:v>46289</x:v>
      </x:c>
      <x:c r="B15" t="str">
        <x:v>四</x:v>
      </x:c>
      <x:c r="C15" t="str">
        <x:v>晚上</x:v>
      </x:c>
      <x:c r="D15" t="str">
        <x:v>寺廟/夜市</x:v>
      </x:c>
      <x:c r="E15" t="str">
        <x:v>可調整</x:v>
      </x:c>
      <x:c r="F15" t="str">
        <x:v>銀廟＋Kadmanee Market</x:v>
      </x:c>
      <x:c r="G15" t="str">
        <x:v>Wua Lai</x:v>
      </x:c>
      <x:c r="H15" t="str">
        <x:v>精神好再去；銀廟夜間有氣氛。</x:v>
      </x:c>
      <x:c r="I15" t="str">
        <x:v>大雨改Makkha/Boontathong按摩。</x:v>
      </x:c>
      <x:c r="J15" t="str">
        <x:v>寺廟服裝、雨具</x:v>
      </x:c>
      <x:c r="K15" t="str">
        <x:v>女性不可進銀廟主殿；依現場規定。</x:v>
      </x:c>
      <x:c r="L15" t="str">
        <x:v>參考價</x:v>
      </x:c>
      <x:c r="M15" t="n">
        <x:v>100</x:v>
      </x:c>
      <x:c r="N15" t="n">
        <x:v>100</x:v>
      </x:c>
      <x:c r="O15" t="n">
        <x:v>0</x:v>
      </x:c>
      <x:c r="P15" t="str">
        <x:v>銀廟約50THB/人；市場無門票。</x:v>
      </x:c>
      <x:c r="Q15" t="str">
        <x:v>https://www.beautiful-chiangmai.com/wat-sri-suphan/</x:v>
      </x:c>
      <x:c r="R15" t="str">
        <x:v>中</x:v>
      </x:c>
    </x:row>
    <x:row r="16">
      <x:c r="A16" t="n">
        <x:v>46289</x:v>
      </x:c>
      <x:c r="B16" t="str">
        <x:v>四</x:v>
      </x:c>
      <x:c r="C16" t="str">
        <x:v>晚上</x:v>
      </x:c>
      <x:c r="D16" t="str">
        <x:v>按摩</x:v>
      </x:c>
      <x:c r="E16" t="str">
        <x:v>備案</x:v>
      </x:c>
      <x:c r="F16" t="str">
        <x:v>Makkha Colonial / Boontathong</x:v>
      </x:c>
      <x:c r="G16" t="str">
        <x:v>市區</x:v>
      </x:c>
      <x:c r="H16" t="str">
        <x:v>大象日疲累時，按摩比夜市更適合。</x:v>
      </x:c>
      <x:c r="I16" t="str">
        <x:v>雨天優先</x:v>
      </x:c>
      <x:c r="J16" t="str">
        <x:v>預約截圖</x:v>
      </x:c>
      <x:c r="K16" t="str">
        <x:v>有傷口/曬傷避免強力療程。</x:v>
      </x:c>
      <x:c r="L16" t="str">
        <x:v>估算</x:v>
      </x:c>
      <x:c r="M16" t="n">
        <x:v>800</x:v>
      </x:c>
      <x:c r="N16" t="n">
        <x:v>2600</x:v>
      </x:c>
      <x:c r="O16" t="n">
        <x:v>0</x:v>
      </x:c>
      <x:c r="P16" t="str">
        <x:v>2人依療程。</x:v>
      </x:c>
      <x:c r="Q16" t="str">
        <x:v>—</x:v>
      </x:c>
      <x:c r="R16" t="str">
        <x:v>低</x:v>
      </x:c>
    </x:row>
    <x:row r="17">
      <x:c r="A17" t="n">
        <x:v>46290</x:v>
      </x:c>
      <x:c r="B17" t="str">
        <x:v>五</x:v>
      </x:c>
      <x:c r="C17" t="str">
        <x:v>依接送</x:v>
      </x:c>
      <x:c r="D17" t="str">
        <x:v>活動</x:v>
      </x:c>
      <x:c r="E17" t="str">
        <x:v>必要</x:v>
      </x:c>
      <x:c r="F17" t="str">
        <x:v>Skyline Adventure Extreme</x:v>
      </x:c>
      <x:c r="G17" t="str">
        <x:v>Doi Saket</x:v>
      </x:c>
      <x:c r="H17" t="str">
        <x:v>飯店接送→活動→午餐/接送回市區；不要鎖死傍晚。</x:v>
      </x:c>
      <x:c r="I17" t="str">
        <x:v>雷雨/業者停辦：MAIIAM＋One Nimman/SPA；晚間保留Warorot。</x:v>
      </x:c>
      <x:c r="J17" t="str">
        <x:v>包鞋、活動服、雨衣、防蚊、相機固定帶</x:v>
      </x:c>
      <x:c r="K17" t="str">
        <x:v>體重上限110kg；孕婦/部分健康狀況不建議。</x:v>
      </x:c>
      <x:c r="L17" t="str">
        <x:v>官方固定價</x:v>
      </x:c>
      <x:c r="M17" t="n">
        <x:v>4900</x:v>
      </x:c>
      <x:c r="N17" t="n">
        <x:v>4900</x:v>
      </x:c>
      <x:c r="O17" t="n">
        <x:v>0</x:v>
      </x:c>
      <x:c r="P17" t="str">
        <x:v>2,450THB/人起；2人4,900。</x:v>
      </x:c>
      <x:c r="Q17" t="str">
        <x:v>https://skylinejungleluge.com/packages/extreme/</x:v>
      </x:c>
      <x:c r="R17" t="str">
        <x:v>高</x:v>
      </x:c>
    </x:row>
    <x:row r="18">
      <x:c r="A18" t="n">
        <x:v>46290</x:v>
      </x:c>
      <x:c r="B18" t="str">
        <x:v>五</x:v>
      </x:c>
      <x:c r="C18" t="str">
        <x:v>回市區後</x:v>
      </x:c>
      <x:c r="D18" t="str">
        <x:v>咖啡</x:v>
      </x:c>
      <x:c r="E18" t="str">
        <x:v>可調整</x:v>
      </x:c>
      <x:c r="F18" t="str">
        <x:v>SAAO BAHTs / Baan104</x:v>
      </x:c>
      <x:c r="G18" t="str">
        <x:v>市區</x:v>
      </x:c>
      <x:c r="H18" t="str">
        <x:v>依回程時間選一；SAAO關得早不要硬趕。</x:v>
      </x:c>
      <x:c r="I18" t="str">
        <x:v>雨天室內可保留</x:v>
      </x:c>
      <x:c r="J18" t="str">
        <x:v>雨傘</x:v>
      </x:c>
      <x:c r="K18" t="str">
        <x:v>只選順路的一間。</x:v>
      </x:c>
      <x:c r="L18" t="str">
        <x:v>估算</x:v>
      </x:c>
      <x:c r="M18" t="n">
        <x:v>160</x:v>
      </x:c>
      <x:c r="N18" t="n">
        <x:v>400</x:v>
      </x:c>
      <x:c r="O18" t="n">
        <x:v>0</x:v>
      </x:c>
      <x:c r="P18" t="str">
        <x:v>2人飲品。</x:v>
      </x:c>
      <x:c r="Q18" t="str">
        <x:v>—</x:v>
      </x:c>
      <x:c r="R18" t="str">
        <x:v>中</x:v>
      </x:c>
    </x:row>
    <x:row r="19">
      <x:c r="A19" t="n">
        <x:v>46290</x:v>
      </x:c>
      <x:c r="B19" t="str">
        <x:v>五</x:v>
      </x:c>
      <x:c r="C19" t="str">
        <x:v>傍晚–晚上</x:v>
      </x:c>
      <x:c r="D19" t="str">
        <x:v>市場</x:v>
      </x:c>
      <x:c r="E19" t="str">
        <x:v>推薦</x:v>
      </x:c>
      <x:c r="F19" t="str">
        <x:v>Warorot Market周邊</x:v>
      </x:c>
      <x:c r="G19" t="str">
        <x:v>Chang Moi</x:v>
      </x:c>
      <x:c r="H19" t="str">
        <x:v>先熟悉市場與伴手禮，10/2再總採買。</x:v>
      </x:c>
      <x:c r="I19" t="str">
        <x:v>大雨逛室內區＋附近餐廳</x:v>
      </x:c>
      <x:c r="J19" t="str">
        <x:v>現金、購物袋</x:v>
      </x:c>
      <x:c r="K19" t="str">
        <x:v>肉製品不要帶回台。</x:v>
      </x:c>
      <x:c r="L19" t="str">
        <x:v>估算</x:v>
      </x:c>
      <x:c r="M19" t="n">
        <x:v>300</x:v>
      </x:c>
      <x:c r="N19" t="n">
        <x:v>800</x:v>
      </x:c>
      <x:c r="O19" t="n">
        <x:v>0</x:v>
      </x:c>
      <x:c r="P19" t="str">
        <x:v>餐飲；購物另計。</x:v>
      </x:c>
      <x:c r="Q19" t="str">
        <x:v>—</x:v>
      </x:c>
      <x:c r="R19" t="str">
        <x:v>中</x:v>
      </x:c>
    </x:row>
    <x:row r="20">
      <x:c r="A20" t="n">
        <x:v>46290</x:v>
      </x:c>
      <x:c r="B20" t="str">
        <x:v>五</x:v>
      </x:c>
      <x:c r="C20" t="str">
        <x:v>晚上</x:v>
      </x:c>
      <x:c r="D20" t="str">
        <x:v>按摩</x:v>
      </x:c>
      <x:c r="E20" t="str">
        <x:v>可調整</x:v>
      </x:c>
      <x:c r="F20" t="str">
        <x:v>Sense Garden Massage</x:v>
      </x:c>
      <x:c r="G20" t="str">
        <x:v>市區</x:v>
      </x:c>
      <x:c r="H20" t="str">
        <x:v>Skyline後只有疲勞才做輕柔按摩。</x:v>
      </x:c>
      <x:c r="I20" t="str">
        <x:v>雨天適合</x:v>
      </x:c>
      <x:c r="J20" t="str">
        <x:v>預約</x:v>
      </x:c>
      <x:c r="K20" t="str">
        <x:v>若拉傷/疼痛先休息。</x:v>
      </x:c>
      <x:c r="L20" t="str">
        <x:v>估算</x:v>
      </x:c>
      <x:c r="M20" t="n">
        <x:v>700</x:v>
      </x:c>
      <x:c r="N20" t="n">
        <x:v>1600</x:v>
      </x:c>
      <x:c r="O20" t="n">
        <x:v>0</x:v>
      </x:c>
      <x:c r="P20" t="str">
        <x:v>2人。</x:v>
      </x:c>
      <x:c r="Q20" t="str">
        <x:v>—</x:v>
      </x:c>
      <x:c r="R20" t="str">
        <x:v>低</x:v>
      </x:c>
    </x:row>
    <x:row r="21">
      <x:c r="A21" t="n">
        <x:v>46291</x:v>
      </x:c>
      <x:c r="B21" t="str">
        <x:v>六</x:v>
      </x:c>
      <x:c r="C21" t="str">
        <x:v>09:00–11:30</x:v>
      </x:c>
      <x:c r="D21" t="str">
        <x:v>市集</x:v>
      </x:c>
      <x:c r="E21" t="str">
        <x:v>必要</x:v>
      </x:c>
      <x:c r="F21" t="str">
        <x:v>Chamcha Market</x:v>
      </x:c>
      <x:c r="G21" t="str">
        <x:v>San Kamphaeng</x:v>
      </x:c>
      <x:c r="H21" t="str">
        <x:v>早上手作市集，接Meena最順。</x:v>
      </x:c>
      <x:c r="I21" t="str">
        <x:v>大雨：改MAIIAM（同方向）＋Meena。</x:v>
      </x:c>
      <x:c r="J21" t="str">
        <x:v>現金、防曬、防蚊、折疊袋</x:v>
      </x:c>
      <x:c r="K21" t="str">
        <x:v>出發前再查當週開市。</x:v>
      </x:c>
      <x:c r="L21" t="str">
        <x:v>免費</x:v>
      </x:c>
      <x:c r="M21" t="n">
        <x:v>0</x:v>
      </x:c>
      <x:c r="N21" t="n">
        <x:v>0</x:v>
      </x:c>
      <x:c r="O21" t="n">
        <x:v>0</x:v>
      </x:c>
      <x:c r="P21" t="str">
        <x:v>無固定門票。</x:v>
      </x:c>
      <x:c r="Q21" t="str">
        <x:v>—</x:v>
      </x:c>
      <x:c r="R21" t="str">
        <x:v>中</x:v>
      </x:c>
    </x:row>
    <x:row r="22">
      <x:c r="A22" t="n">
        <x:v>46291</x:v>
      </x:c>
      <x:c r="B22" t="str">
        <x:v>六</x:v>
      </x:c>
      <x:c r="C22" t="str">
        <x:v>11:30–13:30</x:v>
      </x:c>
      <x:c r="D22" t="str">
        <x:v>餐飲</x:v>
      </x:c>
      <x:c r="E22" t="str">
        <x:v>推薦</x:v>
      </x:c>
      <x:c r="F22" t="str">
        <x:v>Meena Rice Based Cuisine</x:v>
      </x:c>
      <x:c r="G22" t="str">
        <x:v>San Kamphaeng</x:v>
      </x:c>
      <x:c r="H22" t="str">
        <x:v>與Chamcha同區；熱門可先登記。</x:v>
      </x:c>
      <x:c r="I22" t="str">
        <x:v>雨天正常</x:v>
      </x:c>
      <x:c r="J22" t="str">
        <x:v>餐廳定位</x:v>
      </x:c>
      <x:c r="K22" t="str">
        <x:v>不讓等位打亂晚間。</x:v>
      </x:c>
      <x:c r="L22" t="str">
        <x:v>估算</x:v>
      </x:c>
      <x:c r="M22" t="n">
        <x:v>500</x:v>
      </x:c>
      <x:c r="N22" t="n">
        <x:v>900</x:v>
      </x:c>
      <x:c r="O22" t="n">
        <x:v>0</x:v>
      </x:c>
      <x:c r="P22" t="str">
        <x:v>2人。</x:v>
      </x:c>
      <x:c r="Q22" t="str">
        <x:v>—</x:v>
      </x:c>
      <x:c r="R22" t="str">
        <x:v>中</x:v>
      </x:c>
    </x:row>
    <x:row r="23">
      <x:c r="A23" t="n">
        <x:v>46291</x:v>
      </x:c>
      <x:c r="B23" t="str">
        <x:v>六</x:v>
      </x:c>
      <x:c r="C23" t="str">
        <x:v>下午</x:v>
      </x:c>
      <x:c r="D23" t="str">
        <x:v>咖啡/備案</x:v>
      </x:c>
      <x:c r="E23" t="str">
        <x:v>可調整</x:v>
      </x:c>
      <x:c r="F23" t="str">
        <x:v>Home'S / MAIIAM</x:v>
      </x:c>
      <x:c r="G23" t="str">
        <x:v>東側→市區</x:v>
      </x:c>
      <x:c r="H23" t="str">
        <x:v>晴天Home'S；大雨優先MAIIAM。</x:v>
      </x:c>
      <x:c r="I23" t="str">
        <x:v>MAIIAM為主雨備</x:v>
      </x:c>
      <x:c r="J23" t="str">
        <x:v>過敏藥（如需要）</x:v>
      </x:c>
      <x:c r="K23" t="str">
        <x:v>MAIIAM開館日出發前再確認。</x:v>
      </x:c>
      <x:c r="L23" t="str">
        <x:v>參考價</x:v>
      </x:c>
      <x:c r="M23" t="n">
        <x:v>0</x:v>
      </x:c>
      <x:c r="N23" t="n">
        <x:v>400</x:v>
      </x:c>
      <x:c r="O23" t="n">
        <x:v>0</x:v>
      </x:c>
      <x:c r="P23" t="str">
        <x:v>MAIIAM成人約200THB/人。</x:v>
      </x:c>
      <x:c r="Q23" t="str">
        <x:v>https://maiiam.com/en</x:v>
      </x:c>
      <x:c r="R23" t="str">
        <x:v>中</x:v>
      </x:c>
    </x:row>
    <x:row r="24">
      <x:c r="A24" t="n">
        <x:v>46291</x:v>
      </x:c>
      <x:c r="B24" t="str">
        <x:v>六</x:v>
      </x:c>
      <x:c r="C24" t="str">
        <x:v>17:00–22:00</x:v>
      </x:c>
      <x:c r="D24" t="str">
        <x:v>夜市</x:v>
      </x:c>
      <x:c r="E24" t="str">
        <x:v>必要</x:v>
      </x:c>
      <x:c r="F24" t="str">
        <x:v>Wua Lai Saturday Walking Street</x:v>
      </x:c>
      <x:c r="G24" t="str">
        <x:v>Wua Lai</x:v>
      </x:c>
      <x:c r="H24" t="str">
        <x:v>17:00左右進場；晚間人潮增加。</x:v>
      </x:c>
      <x:c r="I24" t="str">
        <x:v>大雨：Central/One Nimman＋按摩/晚餐。</x:v>
      </x:c>
      <x:c r="J24" t="str">
        <x:v>現金、薄雨衣、舒適鞋</x:v>
      </x:c>
      <x:c r="K24" t="str">
        <x:v>上下車點設封街外圍。</x:v>
      </x:c>
      <x:c r="L24" t="str">
        <x:v>估算</x:v>
      </x:c>
      <x:c r="M24" t="n">
        <x:v>400</x:v>
      </x:c>
      <x:c r="N24" t="n">
        <x:v>900</x:v>
      </x:c>
      <x:c r="O24" t="n">
        <x:v>0</x:v>
      </x:c>
      <x:c r="P24" t="str">
        <x:v>2人小吃；購物另計。</x:v>
      </x:c>
      <x:c r="Q24" t="str">
        <x:v>—</x:v>
      </x:c>
      <x:c r="R24" t="str">
        <x:v>中</x:v>
      </x:c>
    </x:row>
    <x:row r="25">
      <x:c r="A25" t="n">
        <x:v>46291</x:v>
      </x:c>
      <x:c r="B25" t="str">
        <x:v>六</x:v>
      </x:c>
      <x:c r="C25" t="str">
        <x:v>夜市中</x:v>
      </x:c>
      <x:c r="D25" t="str">
        <x:v>小吃</x:v>
      </x:c>
      <x:c r="E25" t="str">
        <x:v>可調整</x:v>
      </x:c>
      <x:c r="F25" t="str">
        <x:v>ISĀ ROTI</x:v>
      </x:c>
      <x:c r="G25" t="str">
        <x:v>Wua Lai</x:v>
      </x:c>
      <x:c r="H25" t="str">
        <x:v>順路才吃。</x:v>
      </x:c>
      <x:c r="I25" t="str">
        <x:v>大雨略過</x:v>
      </x:c>
      <x:c r="J25" t="str">
        <x:v>零錢</x:v>
      </x:c>
      <x:c r="K25" t="str">
        <x:v>排隊過長直接跳。</x:v>
      </x:c>
      <x:c r="L25" t="str">
        <x:v>估算</x:v>
      </x:c>
      <x:c r="M25" t="n">
        <x:v>80</x:v>
      </x:c>
      <x:c r="N25" t="n">
        <x:v>180</x:v>
      </x:c>
      <x:c r="O25" t="n">
        <x:v>0</x:v>
      </x:c>
      <x:c r="P25" t="str">
        <x:v>2人。</x:v>
      </x:c>
      <x:c r="Q25" t="str">
        <x:v>—</x:v>
      </x:c>
      <x:c r="R25" t="str">
        <x:v>低</x:v>
      </x:c>
    </x:row>
    <x:row r="26">
      <x:c r="A26" t="n">
        <x:v>46292</x:v>
      </x:c>
      <x:c r="B26" t="str">
        <x:v>日</x:v>
      </x:c>
      <x:c r="C26" t="str">
        <x:v>06:30–09:00</x:v>
      </x:c>
      <x:c r="D26" t="str">
        <x:v>市集</x:v>
      </x:c>
      <x:c r="E26" t="str">
        <x:v>必要</x:v>
      </x:c>
      <x:c r="F26" t="str">
        <x:v>Jing Jai Market</x:v>
      </x:c>
      <x:c r="G26" t="str">
        <x:v>Jing Jai</x:v>
      </x:c>
      <x:c r="H26" t="str">
        <x:v>早逛Farmers/Handmade Market，較涼且品項完整。</x:v>
      </x:c>
      <x:c r="I26" t="str">
        <x:v>大雨縮短戶外區，逛室內店/咖啡。</x:v>
      </x:c>
      <x:c r="J26" t="str">
        <x:v>現金、購物袋、雨具</x:v>
      </x:c>
      <x:c r="K26" t="str">
        <x:v>週末主要市場06:30–15:00。</x:v>
      </x:c>
      <x:c r="L26" t="str">
        <x:v>估算</x:v>
      </x:c>
      <x:c r="M26" t="n">
        <x:v>300</x:v>
      </x:c>
      <x:c r="N26" t="n">
        <x:v>700</x:v>
      </x:c>
      <x:c r="O26" t="n">
        <x:v>0</x:v>
      </x:c>
      <x:c r="P26" t="str">
        <x:v>早餐飲品；購物另計。</x:v>
      </x:c>
      <x:c r="Q26" t="str">
        <x:v>https://jingjaicentralchiangmai.com/market</x:v>
      </x:c>
      <x:c r="R26" t="str">
        <x:v>高</x:v>
      </x:c>
    </x:row>
    <x:row r="27">
      <x:c r="A27" t="n">
        <x:v>46292</x:v>
      </x:c>
      <x:c r="B27" t="str">
        <x:v>日</x:v>
      </x:c>
      <x:c r="C27" t="str">
        <x:v>09:30–12:30</x:v>
      </x:c>
      <x:c r="D27" t="str">
        <x:v>市集</x:v>
      </x:c>
      <x:c r="E27" t="str">
        <x:v>待確認</x:v>
      </x:c>
      <x:c r="F27" t="str">
        <x:v>Coconut / 麵包 / 跳蚤市集</x:v>
      </x:c>
      <x:c r="G27" t="str">
        <x:v>依當週活動</x:v>
      </x:c>
      <x:c r="H27" t="str">
        <x:v>不要三個全跑；出發前1–2天只挑一個最確定、順路的。</x:v>
      </x:c>
      <x:c r="I27" t="str">
        <x:v>雨大全部取消，改City Arts＋Lanna。</x:v>
      </x:c>
      <x:c r="J27" t="str">
        <x:v>定位收藏</x:v>
      </x:c>
      <x:c r="K27" t="str">
        <x:v>原資料部分市集缺固定資訊，不當主軸。</x:v>
      </x:c>
      <x:c r="L27" t="str">
        <x:v>估算</x:v>
      </x:c>
      <x:c r="M27" t="n">
        <x:v>300</x:v>
      </x:c>
      <x:c r="N27" t="n">
        <x:v>700</x:v>
      </x:c>
      <x:c r="O27" t="n">
        <x:v>0</x:v>
      </x:c>
      <x:c r="P27" t="str">
        <x:v>交通/飲食。</x:v>
      </x:c>
      <x:c r="Q27" t="str">
        <x:v>—</x:v>
      </x:c>
      <x:c r="R27" t="str">
        <x:v>低</x:v>
      </x:c>
    </x:row>
    <x:row r="28">
      <x:c r="A28" t="n">
        <x:v>46292</x:v>
      </x:c>
      <x:c r="B28" t="str">
        <x:v>日</x:v>
      </x:c>
      <x:c r="C28" t="str">
        <x:v>下午</x:v>
      </x:c>
      <x:c r="D28" t="str">
        <x:v>咖啡/選物</x:v>
      </x:c>
      <x:c r="E28" t="str">
        <x:v>可調整</x:v>
      </x:c>
      <x:c r="F28" t="str">
        <x:v>Mainiji / be joyful / Buncha's / RORO / GRAPH</x:v>
      </x:c>
      <x:c r="G28" t="str">
        <x:v>舊城周邊</x:v>
      </x:c>
      <x:c r="H28" t="str">
        <x:v>只選2–3間，依地圖串聯。</x:v>
      </x:c>
      <x:c r="I28" t="str">
        <x:v>大雨以室內咖啡/選物為主</x:v>
      </x:c>
      <x:c r="J28" t="str">
        <x:v>行動電源</x:v>
      </x:c>
      <x:c r="K28" t="str">
        <x:v>小店臨休常見。</x:v>
      </x:c>
      <x:c r="L28" t="str">
        <x:v>估算</x:v>
      </x:c>
      <x:c r="M28" t="n">
        <x:v>300</x:v>
      </x:c>
      <x:c r="N28" t="n">
        <x:v>900</x:v>
      </x:c>
      <x:c r="O28" t="n">
        <x:v>0</x:v>
      </x:c>
      <x:c r="P28" t="str">
        <x:v>2人。</x:v>
      </x:c>
      <x:c r="Q28" t="str">
        <x:v>—</x:v>
      </x:c>
      <x:c r="R28" t="str">
        <x:v>中</x:v>
      </x:c>
    </x:row>
    <x:row r="29">
      <x:c r="A29" t="n">
        <x:v>46292</x:v>
      </x:c>
      <x:c r="B29" t="str">
        <x:v>日</x:v>
      </x:c>
      <x:c r="C29" t="str">
        <x:v>17:00–22:00</x:v>
      </x:c>
      <x:c r="D29" t="str">
        <x:v>夜市</x:v>
      </x:c>
      <x:c r="E29" t="str">
        <x:v>必要</x:v>
      </x:c>
      <x:c r="F29" t="str">
        <x:v>Sunday Walking Street</x:v>
      </x:c>
      <x:c r="G29" t="str">
        <x:v>Tha Phae–Ratchadamnoen</x:v>
      </x:c>
      <x:c r="H29" t="str">
        <x:v>17:00入場，19–21最擠。</x:v>
      </x:c>
      <x:c r="I29" t="str">
        <x:v>大雨改古城餐廳＋Lila按摩。</x:v>
      </x:c>
      <x:c r="J29" t="str">
        <x:v>現金、雨衣</x:v>
      </x:c>
      <x:c r="K29" t="str">
        <x:v>保管手機錢包。</x:v>
      </x:c>
      <x:c r="L29" t="str">
        <x:v>估算</x:v>
      </x:c>
      <x:c r="M29" t="n">
        <x:v>500</x:v>
      </x:c>
      <x:c r="N29" t="n">
        <x:v>1200</x:v>
      </x:c>
      <x:c r="O29" t="n">
        <x:v>0</x:v>
      </x:c>
      <x:c r="P29" t="str">
        <x:v>2人小吃；購物另計。</x:v>
      </x:c>
      <x:c r="Q29" t="str">
        <x:v>—</x:v>
      </x:c>
      <x:c r="R29" t="str">
        <x:v>中</x:v>
      </x:c>
    </x:row>
    <x:row r="30">
      <x:c r="A30" t="n">
        <x:v>46292</x:v>
      </x:c>
      <x:c r="B30" t="str">
        <x:v>日</x:v>
      </x:c>
      <x:c r="C30" t="str">
        <x:v>夜間</x:v>
      </x:c>
      <x:c r="D30" t="str">
        <x:v>按摩</x:v>
      </x:c>
      <x:c r="E30" t="str">
        <x:v>可調整</x:v>
      </x:c>
      <x:c r="F30" t="str">
        <x:v>Lila Thai Massage</x:v>
      </x:c>
      <x:c r="G30" t="str">
        <x:v>舊城</x:v>
      </x:c>
      <x:c r="H30" t="str">
        <x:v>夜市後有體力再做。</x:v>
      </x:c>
      <x:c r="I30" t="str">
        <x:v>雨天優先</x:v>
      </x:c>
      <x:c r="J30" t="str">
        <x:v>預約</x:v>
      </x:c>
      <x:c r="K30" t="str">
        <x:v>不要排太晚。</x:v>
      </x:c>
      <x:c r="L30" t="str">
        <x:v>估算</x:v>
      </x:c>
      <x:c r="M30" t="n">
        <x:v>600</x:v>
      </x:c>
      <x:c r="N30" t="n">
        <x:v>1400</x:v>
      </x:c>
      <x:c r="O30" t="n">
        <x:v>0</x:v>
      </x:c>
      <x:c r="P30" t="str">
        <x:v>2人。</x:v>
      </x:c>
      <x:c r="Q30" t="str">
        <x:v>—</x:v>
      </x:c>
      <x:c r="R30" t="str">
        <x:v>低</x:v>
      </x:c>
    </x:row>
    <x:row r="31">
      <x:c r="A31" t="n">
        <x:v>46293</x:v>
      </x:c>
      <x:c r="B31" t="str">
        <x:v>一</x:v>
      </x:c>
      <x:c r="C31" t="str">
        <x:v>08:00–10:00</x:v>
      </x:c>
      <x:c r="D31" t="str">
        <x:v>早餐/市場</x:v>
      </x:c>
      <x:c r="E31" t="str">
        <x:v>推薦</x:v>
      </x:c>
      <x:c r="F31" t="str">
        <x:v>恐龍油條＋Warorot</x:v>
      </x:c>
      <x:c r="G31" t="str">
        <x:v>Chang Moi</x:v>
      </x:c>
      <x:c r="H31" t="str">
        <x:v>早餐後逛市場，列伴手禮清單。</x:v>
      </x:c>
      <x:c r="I31" t="str">
        <x:v>市場室內區可保留</x:v>
      </x:c>
      <x:c r="J31" t="str">
        <x:v>現金</x:v>
      </x:c>
      <x:c r="K31" t="str">
        <x:v>熱門品項可能售完。</x:v>
      </x:c>
      <x:c r="L31" t="str">
        <x:v>估算</x:v>
      </x:c>
      <x:c r="M31" t="n">
        <x:v>150</x:v>
      </x:c>
      <x:c r="N31" t="n">
        <x:v>350</x:v>
      </x:c>
      <x:c r="O31" t="n">
        <x:v>0</x:v>
      </x:c>
      <x:c r="P31" t="str">
        <x:v>2人。</x:v>
      </x:c>
      <x:c r="Q31" t="str">
        <x:v>—</x:v>
      </x:c>
      <x:c r="R31" t="str">
        <x:v>中</x:v>
      </x:c>
    </x:row>
    <x:row r="32">
      <x:c r="A32" t="n">
        <x:v>46293</x:v>
      </x:c>
      <x:c r="B32" t="str">
        <x:v>一</x:v>
      </x:c>
      <x:c r="C32" t="str">
        <x:v>10:00–14:00</x:v>
      </x:c>
      <x:c r="D32" t="str">
        <x:v>購物/午餐</x:v>
      </x:c>
      <x:c r="E32" t="str">
        <x:v>推薦</x:v>
      </x:c>
      <x:c r="F32" t="str">
        <x:v>藤編一條街→Guay Jub→Rich Homemade Cake</x:v>
      </x:c>
      <x:c r="G32" t="str">
        <x:v>Chang Moi</x:v>
      </x:c>
      <x:c r="H32" t="str">
        <x:v>同區步行串聯，中午室內休息。</x:v>
      </x:c>
      <x:c r="I32" t="str">
        <x:v>大雨縮短藤編街，保留餐廳/咖啡。</x:v>
      </x:c>
      <x:c r="J32" t="str">
        <x:v>購物袋</x:v>
      </x:c>
      <x:c r="K32" t="str">
        <x:v>藤編體積大，先想打包。</x:v>
      </x:c>
      <x:c r="L32" t="str">
        <x:v>估算</x:v>
      </x:c>
      <x:c r="M32" t="n">
        <x:v>300</x:v>
      </x:c>
      <x:c r="N32" t="n">
        <x:v>700</x:v>
      </x:c>
      <x:c r="O32" t="n">
        <x:v>0</x:v>
      </x:c>
      <x:c r="P32" t="str">
        <x:v>2人餐飲；購物另計。</x:v>
      </x:c>
      <x:c r="Q32" t="str">
        <x:v>—</x:v>
      </x:c>
      <x:c r="R32" t="str">
        <x:v>中</x:v>
      </x:c>
    </x:row>
    <x:row r="33">
      <x:c r="A33" t="n">
        <x:v>46293</x:v>
      </x:c>
      <x:c r="B33" t="str">
        <x:v>一</x:v>
      </x:c>
      <x:c r="C33" t="str">
        <x:v>下午</x:v>
      </x:c>
      <x:c r="D33" t="str">
        <x:v>寺廟</x:v>
      </x:c>
      <x:c r="E33" t="str">
        <x:v>推薦</x:v>
      </x:c>
      <x:c r="F33" t="str">
        <x:v>Wat Chiang Man</x:v>
      </x:c>
      <x:c r="G33" t="str">
        <x:v>舊城北</x:v>
      </x:c>
      <x:c r="H33" t="str">
        <x:v>短程參拜，接SPA前不趕。</x:v>
      </x:c>
      <x:c r="I33" t="str">
        <x:v>大雨短暫進殿或直接改咖啡。</x:v>
      </x:c>
      <x:c r="J33" t="str">
        <x:v>寺廟服裝</x:v>
      </x:c>
      <x:c r="K33" t="str">
        <x:v>依現場拍攝規定。</x:v>
      </x:c>
      <x:c r="L33" t="str">
        <x:v>免費</x:v>
      </x:c>
      <x:c r="M33" t="n">
        <x:v>0</x:v>
      </x:c>
      <x:c r="N33" t="n">
        <x:v>0</x:v>
      </x:c>
      <x:c r="O33" t="n">
        <x:v>0</x:v>
      </x:c>
      <x:c r="P33" t="str">
        <x:v>通常免費，可自願捐獻。</x:v>
      </x:c>
      <x:c r="Q33" t="str">
        <x:v>https://www.watchiangman.com/en/</x:v>
      </x:c>
      <x:c r="R33" t="str">
        <x:v>中</x:v>
      </x:c>
    </x:row>
    <x:row r="34">
      <x:c r="A34" t="n">
        <x:v>46293</x:v>
      </x:c>
      <x:c r="B34" t="str">
        <x:v>一</x:v>
      </x:c>
      <x:c r="C34" t="str">
        <x:v>傍晚</x:v>
      </x:c>
      <x:c r="D34" t="str">
        <x:v>SPA</x:v>
      </x:c>
      <x:c r="E34" t="str">
        <x:v>推薦</x:v>
      </x:c>
      <x:c r="F34" t="str">
        <x:v>Fah Lanna Spa Old City</x:v>
      </x:c>
      <x:c r="G34" t="str">
        <x:v>舊城</x:v>
      </x:c>
      <x:c r="H34" t="str">
        <x:v>安排一個品質型SPA作中段休息。</x:v>
      </x:c>
      <x:c r="I34" t="str">
        <x:v>雨天非常適合</x:v>
      </x:c>
      <x:c r="J34" t="str">
        <x:v>預約憑證</x:v>
      </x:c>
      <x:c r="K34" t="str">
        <x:v>吃太飽不要立刻按摩。</x:v>
      </x:c>
      <x:c r="L34" t="str">
        <x:v>官方/估算</x:v>
      </x:c>
      <x:c r="M34" t="n">
        <x:v>1600</x:v>
      </x:c>
      <x:c r="N34" t="n">
        <x:v>3600</x:v>
      </x:c>
      <x:c r="O34" t="n">
        <x:v>0</x:v>
      </x:c>
      <x:c r="P34" t="str">
        <x:v>2人；泰式按摩約800THB/人起。</x:v>
      </x:c>
      <x:c r="Q34" t="str">
        <x:v>https://fahlanna.com/spa-menu/</x:v>
      </x:c>
      <x:c r="R34" t="str">
        <x:v>中</x:v>
      </x:c>
    </x:row>
    <x:row r="35">
      <x:c r="A35" t="n">
        <x:v>46293</x:v>
      </x:c>
      <x:c r="B35" t="str">
        <x:v>一</x:v>
      </x:c>
      <x:c r="C35" t="str">
        <x:v>晚餐</x:v>
      </x:c>
      <x:c r="D35" t="str">
        <x:v>餐飲</x:v>
      </x:c>
      <x:c r="E35" t="str">
        <x:v>可調整</x:v>
      </x:c>
      <x:c r="F35" t="str">
        <x:v>Kaprao Nueanuea Chang Moi</x:v>
      </x:c>
      <x:c r="G35" t="str">
        <x:v>Chang Moi</x:v>
      </x:c>
      <x:c r="H35" t="str">
        <x:v>依當日營業時段決定。</x:v>
      </x:c>
      <x:c r="I35" t="str">
        <x:v>雨天正常</x:v>
      </x:c>
      <x:c r="J35" t="str">
        <x:v>現金</x:v>
      </x:c>
      <x:c r="K35" t="str">
        <x:v>晚場異動就近替代。</x:v>
      </x:c>
      <x:c r="L35" t="str">
        <x:v>估算</x:v>
      </x:c>
      <x:c r="M35" t="n">
        <x:v>250</x:v>
      </x:c>
      <x:c r="N35" t="n">
        <x:v>550</x:v>
      </x:c>
      <x:c r="O35" t="n">
        <x:v>0</x:v>
      </x:c>
      <x:c r="P35" t="str">
        <x:v>2人。</x:v>
      </x:c>
      <x:c r="Q35" t="str">
        <x:v>—</x:v>
      </x:c>
      <x:c r="R35" t="str">
        <x:v>中</x:v>
      </x:c>
    </x:row>
    <x:row r="36">
      <x:c r="A36" t="n">
        <x:v>46294</x:v>
      </x:c>
      <x:c r="B36" t="str">
        <x:v>二</x:v>
      </x:c>
      <x:c r="C36" t="str">
        <x:v>08:00–10:00</x:v>
      </x:c>
      <x:c r="D36" t="str">
        <x:v>早餐</x:v>
      </x:c>
      <x:c r="E36" t="str">
        <x:v>推薦</x:v>
      </x:c>
      <x:c r="F36" t="str">
        <x:v>Khao Soi Maesai</x:v>
      </x:c>
      <x:c r="G36" t="str">
        <x:v>北側市區</x:v>
      </x:c>
      <x:c r="H36" t="str">
        <x:v>早去避排隊。</x:v>
      </x:c>
      <x:c r="I36" t="str">
        <x:v>雨天正常</x:v>
      </x:c>
      <x:c r="J36" t="str">
        <x:v>現金</x:v>
      </x:c>
      <x:c r="K36" t="str">
        <x:v>可問辣度。</x:v>
      </x:c>
      <x:c r="L36" t="str">
        <x:v>估算</x:v>
      </x:c>
      <x:c r="M36" t="n">
        <x:v>160</x:v>
      </x:c>
      <x:c r="N36" t="n">
        <x:v>300</x:v>
      </x:c>
      <x:c r="O36" t="n">
        <x:v>0</x:v>
      </x:c>
      <x:c r="P36" t="str">
        <x:v>2人。</x:v>
      </x:c>
      <x:c r="Q36" t="str">
        <x:v>—</x:v>
      </x:c>
      <x:c r="R36" t="str">
        <x:v>中</x:v>
      </x:c>
    </x:row>
    <x:row r="37">
      <x:c r="A37" t="n">
        <x:v>46294</x:v>
      </x:c>
      <x:c r="B37" t="str">
        <x:v>二</x:v>
      </x:c>
      <x:c r="C37" t="str">
        <x:v>上午–中午</x:v>
      </x:c>
      <x:c r="D37" t="str">
        <x:v>咖啡/餐飲</x:v>
      </x:c>
      <x:c r="E37" t="str">
        <x:v>可調整</x:v>
      </x:c>
      <x:c r="F37" t="str">
        <x:v>Magic Brew / 林老五 / 97% Cocoa</x:v>
      </x:c>
      <x:c r="G37" t="str">
        <x:v>市區</x:v>
      </x:c>
      <x:c r="H37" t="str">
        <x:v>咖啡＋午餐各選一，不三間全吃。</x:v>
      </x:c>
      <x:c r="I37" t="str">
        <x:v>雨天保留室內店</x:v>
      </x:c>
      <x:c r="J37" t="str">
        <x:v>定位收藏</x:v>
      </x:c>
      <x:c r="K37" t="str">
        <x:v>以動線為主。</x:v>
      </x:c>
      <x:c r="L37" t="str">
        <x:v>估算</x:v>
      </x:c>
      <x:c r="M37" t="n">
        <x:v>250</x:v>
      </x:c>
      <x:c r="N37" t="n">
        <x:v>650</x:v>
      </x:c>
      <x:c r="O37" t="n">
        <x:v>0</x:v>
      </x:c>
      <x:c r="P37" t="str">
        <x:v>2人。</x:v>
      </x:c>
      <x:c r="Q37" t="str">
        <x:v>—</x:v>
      </x:c>
      <x:c r="R37" t="str">
        <x:v>低</x:v>
      </x:c>
    </x:row>
    <x:row r="38">
      <x:c r="A38" t="n">
        <x:v>46294</x:v>
      </x:c>
      <x:c r="B38" t="str">
        <x:v>二</x:v>
      </x:c>
      <x:c r="C38" t="str">
        <x:v>15:00–16:30</x:v>
      </x:c>
      <x:c r="D38" t="str">
        <x:v>寺廟</x:v>
      </x:c>
      <x:c r="E38" t="str">
        <x:v>必要</x:v>
      </x:c>
      <x:c r="F38" t="str">
        <x:v>Wat Phra Singh</x:v>
      </x:c>
      <x:c r="G38" t="str">
        <x:v>舊城</x:v>
      </x:c>
      <x:c r="H38" t="str">
        <x:v>下午光線柔和。</x:v>
      </x:c>
      <x:c r="I38" t="str">
        <x:v>雷雨改咖啡/One Nimman，雨小再去。</x:v>
      </x:c>
      <x:c r="J38" t="str">
        <x:v>寺廟服裝</x:v>
      </x:c>
      <x:c r="K38" t="str">
        <x:v>午後雷雨避免長時間戶外。</x:v>
      </x:c>
      <x:c r="L38" t="str">
        <x:v>參考價</x:v>
      </x:c>
      <x:c r="M38" t="n">
        <x:v>100</x:v>
      </x:c>
      <x:c r="N38" t="n">
        <x:v>100</x:v>
      </x:c>
      <x:c r="O38" t="n">
        <x:v>0</x:v>
      </x:c>
      <x:c r="P38" t="str">
        <x:v>約50THB/人，現場為準。</x:v>
      </x:c>
      <x:c r="Q38" t="str">
        <x:v>—</x:v>
      </x:c>
      <x:c r="R38" t="str">
        <x:v>中</x:v>
      </x:c>
    </x:row>
    <x:row r="39">
      <x:c r="A39" t="n">
        <x:v>46294</x:v>
      </x:c>
      <x:c r="B39" t="str">
        <x:v>二</x:v>
      </x:c>
      <x:c r="C39" t="str">
        <x:v>16:30–18:00</x:v>
      </x:c>
      <x:c r="D39" t="str">
        <x:v>咖啡/購物</x:v>
      </x:c>
      <x:c r="E39" t="str">
        <x:v>推薦</x:v>
      </x:c>
      <x:c r="F39" t="str">
        <x:v>Akha Ama Phrasingh</x:v>
      </x:c>
      <x:c r="G39" t="str">
        <x:v>帕邢寺附近</x:v>
      </x:c>
      <x:c r="H39" t="str">
        <x:v>順買咖啡豆。</x:v>
      </x:c>
      <x:c r="I39" t="str">
        <x:v>雨天正常</x:v>
      </x:c>
      <x:c r="J39" t="str">
        <x:v>咖啡豆清單</x:v>
      </x:c>
      <x:c r="K39" t="str">
        <x:v>豆子保留完整包裝。</x:v>
      </x:c>
      <x:c r="L39" t="str">
        <x:v>估算</x:v>
      </x:c>
      <x:c r="M39" t="n">
        <x:v>200</x:v>
      </x:c>
      <x:c r="N39" t="n">
        <x:v>500</x:v>
      </x:c>
      <x:c r="O39" t="n">
        <x:v>0</x:v>
      </x:c>
      <x:c r="P39" t="str">
        <x:v>2人飲品；豆子另計。</x:v>
      </x:c>
      <x:c r="Q39" t="str">
        <x:v>—</x:v>
      </x:c>
      <x:c r="R39" t="str">
        <x:v>中</x:v>
      </x:c>
    </x:row>
    <x:row r="40">
      <x:c r="A40" t="n">
        <x:v>46294</x:v>
      </x:c>
      <x:c r="B40" t="str">
        <x:v>二</x:v>
      </x:c>
      <x:c r="C40" t="str">
        <x:v>傍晚</x:v>
      </x:c>
      <x:c r="D40" t="str">
        <x:v>寺廟</x:v>
      </x:c>
      <x:c r="E40" t="str">
        <x:v>必要</x:v>
      </x:c>
      <x:c r="F40" t="str">
        <x:v>Wat Chedi Luang</x:v>
      </x:c>
      <x:c r="G40" t="str">
        <x:v>舊城</x:v>
      </x:c>
      <x:c r="H40" t="str">
        <x:v>傍晚較不曬，接晚餐。</x:v>
      </x:c>
      <x:c r="I40" t="str">
        <x:v>雷雨延後或縮短戶外。</x:v>
      </x:c>
      <x:c r="J40" t="str">
        <x:v>寺廟服裝</x:v>
      </x:c>
      <x:c r="K40" t="str">
        <x:v>留意最後售票。</x:v>
      </x:c>
      <x:c r="L40" t="str">
        <x:v>參考價</x:v>
      </x:c>
      <x:c r="M40" t="n">
        <x:v>80</x:v>
      </x:c>
      <x:c r="N40" t="n">
        <x:v>100</x:v>
      </x:c>
      <x:c r="O40" t="n">
        <x:v>0</x:v>
      </x:c>
      <x:c r="P40" t="str">
        <x:v>約40–50THB/人。</x:v>
      </x:c>
      <x:c r="Q40" t="str">
        <x:v>—</x:v>
      </x:c>
      <x:c r="R40" t="str">
        <x:v>中</x:v>
      </x:c>
    </x:row>
    <x:row r="41">
      <x:c r="A41" t="n">
        <x:v>46294</x:v>
      </x:c>
      <x:c r="B41" t="str">
        <x:v>二</x:v>
      </x:c>
      <x:c r="C41" t="str">
        <x:v>晚上</x:v>
      </x:c>
      <x:c r="D41" t="str">
        <x:v>餐飲/按摩</x:v>
      </x:c>
      <x:c r="E41" t="str">
        <x:v>可調整</x:v>
      </x:c>
      <x:c r="F41" t="str">
        <x:v>Aoyjai / ISĀ ROTI / Makkha</x:v>
      </x:c>
      <x:c r="G41" t="str">
        <x:v>舊城</x:v>
      </x:c>
      <x:c r="H41" t="str">
        <x:v>晚餐、甜點、按摩最多選2項。</x:v>
      </x:c>
      <x:c r="I41" t="str">
        <x:v>雨天優先按摩</x:v>
      </x:c>
      <x:c r="J41" t="str">
        <x:v>預約資料</x:v>
      </x:c>
      <x:c r="K41" t="str">
        <x:v>不要排太緊。</x:v>
      </x:c>
      <x:c r="L41" t="str">
        <x:v>估算</x:v>
      </x:c>
      <x:c r="M41" t="n">
        <x:v>700</x:v>
      </x:c>
      <x:c r="N41" t="n">
        <x:v>3000</x:v>
      </x:c>
      <x:c r="O41" t="n">
        <x:v>0</x:v>
      </x:c>
      <x:c r="P41" t="str">
        <x:v>是否做Makkha差異大。</x:v>
      </x:c>
      <x:c r="Q41" t="str">
        <x:v>—</x:v>
      </x:c>
      <x:c r="R41" t="str">
        <x:v>低</x:v>
      </x:c>
    </x:row>
    <x:row r="42">
      <x:c r="A42" t="n">
        <x:v>46295</x:v>
      </x:c>
      <x:c r="B42" t="str">
        <x:v>三</x:v>
      </x:c>
      <x:c r="C42" t="str">
        <x:v>09:00–10:30</x:v>
      </x:c>
      <x:c r="D42" t="str">
        <x:v>咖啡</x:v>
      </x:c>
      <x:c r="E42" t="str">
        <x:v>推薦</x:v>
      </x:c>
      <x:c r="F42" t="str">
        <x:v>Onesky Fiveseas</x:v>
      </x:c>
      <x:c r="G42" t="str">
        <x:v>市區</x:v>
      </x:c>
      <x:c r="H42" t="str">
        <x:v>喝完前往11:30午餐。</x:v>
      </x:c>
      <x:c r="I42" t="str">
        <x:v>雨天正常</x:v>
      </x:c>
      <x:c r="J42" t="str">
        <x:v>雨傘</x:v>
      </x:c>
      <x:c r="K42" t="str">
        <x:v>不要吃太飽。</x:v>
      </x:c>
      <x:c r="L42" t="str">
        <x:v>估算</x:v>
      </x:c>
      <x:c r="M42" t="n">
        <x:v>180</x:v>
      </x:c>
      <x:c r="N42" t="n">
        <x:v>400</x:v>
      </x:c>
      <x:c r="O42" t="n">
        <x:v>0</x:v>
      </x:c>
      <x:c r="P42" t="str">
        <x:v>2人。</x:v>
      </x:c>
      <x:c r="Q42" t="str">
        <x:v>—</x:v>
      </x:c>
      <x:c r="R42" t="str">
        <x:v>中</x:v>
      </x:c>
    </x:row>
    <x:row r="43">
      <x:c r="A43" t="n">
        <x:v>46295</x:v>
      </x:c>
      <x:c r="B43" t="str">
        <x:v>三</x:v>
      </x:c>
      <x:c r="C43" t="str">
        <x:v>11:30</x:v>
      </x:c>
      <x:c r="D43" t="str">
        <x:v>午餐</x:v>
      </x:c>
      <x:c r="E43" t="str">
        <x:v>必要</x:v>
      </x:c>
      <x:c r="F43" t="str">
        <x:v>B Samcook Home16</x:v>
      </x:c>
      <x:c r="G43" t="str">
        <x:v>市區</x:v>
      </x:c>
      <x:c r="H43" t="str">
        <x:v>已預約無菜單料理，提前10–15分。</x:v>
      </x:c>
      <x:c r="I43" t="str">
        <x:v>雨天正常</x:v>
      </x:c>
      <x:c r="J43" t="str">
        <x:v>訂位確認</x:v>
      </x:c>
      <x:c r="K43" t="str">
        <x:v>忌口/過敏提前說。</x:v>
      </x:c>
      <x:c r="L43" t="str">
        <x:v>待確認</x:v>
      </x:c>
      <x:c r="M43" t="n">
        <x:v>0</x:v>
      </x:c>
      <x:c r="N43" t="n">
        <x:v>0</x:v>
      </x:c>
      <x:c r="O43" t="n">
        <x:v>0</x:v>
      </x:c>
      <x:c r="P43" t="str">
        <x:v>實價請補13訂單付款。</x:v>
      </x:c>
      <x:c r="Q43" t="str">
        <x:v>原始訂位</x:v>
      </x:c>
      <x:c r="R43" t="str">
        <x:v>高</x:v>
      </x:c>
    </x:row>
    <x:row r="44">
      <x:c r="A44" t="n">
        <x:v>46295</x:v>
      </x:c>
      <x:c r="B44" t="str">
        <x:v>三</x:v>
      </x:c>
      <x:c r="C44" t="str">
        <x:v>下午</x:v>
      </x:c>
      <x:c r="D44" t="str">
        <x:v>景點/選物</x:v>
      </x:c>
      <x:c r="E44" t="str">
        <x:v>推薦</x:v>
      </x:c>
      <x:c r="F44" t="str">
        <x:v>Tha Phae Gate→RORO→City Craft Space</x:v>
      </x:c>
      <x:c r="G44" t="str">
        <x:v>塔佩門</x:v>
      </x:c>
      <x:c r="H44" t="str">
        <x:v>同區慢走，不反覆叫車。</x:v>
      </x:c>
      <x:c r="I44" t="str">
        <x:v>大雨改City Arts＋Lanna→咖啡。</x:v>
      </x:c>
      <x:c r="J44" t="str">
        <x:v>防曬/雨具</x:v>
      </x:c>
      <x:c r="K44" t="str">
        <x:v>塔佩門日照/陣雨都強。</x:v>
      </x:c>
      <x:c r="L44" t="str">
        <x:v>估算</x:v>
      </x:c>
      <x:c r="M44" t="n">
        <x:v>0</x:v>
      </x:c>
      <x:c r="N44" t="n">
        <x:v>300</x:v>
      </x:c>
      <x:c r="O44" t="n">
        <x:v>0</x:v>
      </x:c>
      <x:c r="P44" t="str">
        <x:v>景點免費，飲品另計。</x:v>
      </x:c>
      <x:c r="Q44" t="str">
        <x:v>—</x:v>
      </x:c>
      <x:c r="R44" t="str">
        <x:v>中</x:v>
      </x:c>
    </x:row>
    <x:row r="45">
      <x:c r="A45" t="n">
        <x:v>46295</x:v>
      </x:c>
      <x:c r="B45" t="str">
        <x:v>三</x:v>
      </x:c>
      <x:c r="C45" t="str">
        <x:v>18:30</x:v>
      </x:c>
      <x:c r="D45" t="str">
        <x:v>小吃</x:v>
      </x:c>
      <x:c r="E45" t="str">
        <x:v>可調整</x:v>
      </x:c>
      <x:c r="F45" t="str">
        <x:v>Roti Pa Dae</x:v>
      </x:c>
      <x:c r="G45" t="str">
        <x:v>塔佩門</x:v>
      </x:c>
      <x:c r="H45" t="str">
        <x:v>順路吃。</x:v>
      </x:c>
      <x:c r="I45" t="str">
        <x:v>大雨略過</x:v>
      </x:c>
      <x:c r="J45" t="str">
        <x:v>零錢</x:v>
      </x:c>
      <x:c r="K45" t="str">
        <x:v>排太久跳過。</x:v>
      </x:c>
      <x:c r="L45" t="str">
        <x:v>估算</x:v>
      </x:c>
      <x:c r="M45" t="n">
        <x:v>80</x:v>
      </x:c>
      <x:c r="N45" t="n">
        <x:v>180</x:v>
      </x:c>
      <x:c r="O45" t="n">
        <x:v>0</x:v>
      </x:c>
      <x:c r="P45" t="str">
        <x:v>2人。</x:v>
      </x:c>
      <x:c r="Q45" t="str">
        <x:v>—</x:v>
      </x:c>
      <x:c r="R45" t="str">
        <x:v>低</x:v>
      </x:c>
    </x:row>
    <x:row r="46">
      <x:c r="A46" t="n">
        <x:v>46295</x:v>
      </x:c>
      <x:c r="B46" t="str">
        <x:v>三</x:v>
      </x:c>
      <x:c r="C46" t="str">
        <x:v>晚上</x:v>
      </x:c>
      <x:c r="D46" t="str">
        <x:v>夜市/按摩</x:v>
      </x:c>
      <x:c r="E46" t="str">
        <x:v>推薦</x:v>
      </x:c>
      <x:c r="F46" t="str">
        <x:v>Night Bazaar→Boontathong</x:v>
      </x:c>
      <x:c r="G46" t="str">
        <x:v>Chang Klan</x:v>
      </x:c>
      <x:c r="H46" t="str">
        <x:v>夜市後按摩收尾。</x:v>
      </x:c>
      <x:c r="I46" t="str">
        <x:v>大雨直接按摩＋室內餐廳。</x:v>
      </x:c>
      <x:c r="J46" t="str">
        <x:v>現金、預約</x:v>
      </x:c>
      <x:c r="K46" t="str">
        <x:v>晚間叫車可能塞。</x:v>
      </x:c>
      <x:c r="L46" t="str">
        <x:v>估算</x:v>
      </x:c>
      <x:c r="M46" t="n">
        <x:v>600</x:v>
      </x:c>
      <x:c r="N46" t="n">
        <x:v>1600</x:v>
      </x:c>
      <x:c r="O46" t="n">
        <x:v>0</x:v>
      </x:c>
      <x:c r="P46" t="str">
        <x:v>2人；購物另計。</x:v>
      </x:c>
      <x:c r="Q46" t="str">
        <x:v>—</x:v>
      </x:c>
      <x:c r="R46" t="str">
        <x:v>低</x:v>
      </x:c>
    </x:row>
    <x:row r="47">
      <x:c r="A47" t="n">
        <x:v>46296</x:v>
      </x:c>
      <x:c r="B47" t="str">
        <x:v>四</x:v>
      </x:c>
      <x:c r="C47" t="str">
        <x:v>10:00–13:00</x:v>
      </x:c>
      <x:c r="D47" t="str">
        <x:v>藝術村</x:v>
      </x:c>
      <x:c r="E47" t="str">
        <x:v>必要</x:v>
      </x:c>
      <x:c r="F47" t="str">
        <x:v>Baan Kang Wat</x:v>
      </x:c>
      <x:c r="G47" t="str">
        <x:v>Suthep</x:v>
      </x:c>
      <x:c r="H47" t="str">
        <x:v>慢逛工作室小店。</x:v>
      </x:c>
      <x:c r="I47" t="str">
        <x:v>大雨改One Nimman/MAYA。</x:v>
      </x:c>
      <x:c r="J47" t="str">
        <x:v>現金、購物袋、雨具</x:v>
      </x:c>
      <x:c r="K47" t="str">
        <x:v>部分店家有自己休息日。</x:v>
      </x:c>
      <x:c r="L47" t="str">
        <x:v>免費</x:v>
      </x:c>
      <x:c r="M47" t="n">
        <x:v>0</x:v>
      </x:c>
      <x:c r="N47" t="n">
        <x:v>0</x:v>
      </x:c>
      <x:c r="O47" t="n">
        <x:v>0</x:v>
      </x:c>
      <x:c r="P47" t="str">
        <x:v>無固定門票。</x:v>
      </x:c>
      <x:c r="Q47" t="str">
        <x:v>—</x:v>
      </x:c>
      <x:c r="R47" t="str">
        <x:v>中</x:v>
      </x:c>
    </x:row>
    <x:row r="48">
      <x:c r="A48" t="n">
        <x:v>46296</x:v>
      </x:c>
      <x:c r="B48" t="str">
        <x:v>四</x:v>
      </x:c>
      <x:c r="C48" t="str">
        <x:v>中午</x:v>
      </x:c>
      <x:c r="D48" t="str">
        <x:v>餐飲/咖啡</x:v>
      </x:c>
      <x:c r="E48" t="str">
        <x:v>可調整</x:v>
      </x:c>
      <x:c r="F48" t="str">
        <x:v>SANAE / Obchoei / THURSDAE</x:v>
      </x:c>
      <x:c r="G48" t="str">
        <x:v>Suthep→Nimman</x:v>
      </x:c>
      <x:c r="H48" t="str">
        <x:v>三選一或二。</x:v>
      </x:c>
      <x:c r="I48" t="str">
        <x:v>雨天正常</x:v>
      </x:c>
      <x:c r="J48" t="str">
        <x:v>定位</x:v>
      </x:c>
      <x:c r="K48" t="str">
        <x:v>留胃給晚餐。</x:v>
      </x:c>
      <x:c r="L48" t="str">
        <x:v>估算</x:v>
      </x:c>
      <x:c r="M48" t="n">
        <x:v>400</x:v>
      </x:c>
      <x:c r="N48" t="n">
        <x:v>800</x:v>
      </x:c>
      <x:c r="O48" t="n">
        <x:v>0</x:v>
      </x:c>
      <x:c r="P48" t="str">
        <x:v>2人。</x:v>
      </x:c>
      <x:c r="Q48" t="str">
        <x:v>—</x:v>
      </x:c>
      <x:c r="R48" t="str">
        <x:v>低</x:v>
      </x:c>
    </x:row>
    <x:row r="49">
      <x:c r="A49" t="n">
        <x:v>46296</x:v>
      </x:c>
      <x:c r="B49" t="str">
        <x:v>四</x:v>
      </x:c>
      <x:c r="C49" t="str">
        <x:v>下午</x:v>
      </x:c>
      <x:c r="D49" t="str">
        <x:v>購物</x:v>
      </x:c>
      <x:c r="E49" t="str">
        <x:v>推薦</x:v>
      </x:c>
      <x:c r="F49" t="str">
        <x:v>Nimman：Playworks / fimue / Copenn / Tangerine6391</x:v>
      </x:c>
      <x:c r="G49" t="str">
        <x:v>Nimman</x:v>
      </x:c>
      <x:c r="H49" t="str">
        <x:v>集中逛選物香氛。</x:v>
      </x:c>
      <x:c r="I49" t="str">
        <x:v>雨天改One Nimman/MAYA室內線。</x:v>
      </x:c>
      <x:c r="J49" t="str">
        <x:v>購物清單</x:v>
      </x:c>
      <x:c r="K49" t="str">
        <x:v>液體/易碎品注意回程。</x:v>
      </x:c>
      <x:c r="L49" t="str">
        <x:v>估算</x:v>
      </x:c>
      <x:c r="M49" t="n">
        <x:v>0</x:v>
      </x:c>
      <x:c r="N49" t="n">
        <x:v>300</x:v>
      </x:c>
      <x:c r="O49" t="n">
        <x:v>0</x:v>
      </x:c>
      <x:c r="P49" t="str">
        <x:v>不含購物。</x:v>
      </x:c>
      <x:c r="Q49" t="str">
        <x:v>—</x:v>
      </x:c>
      <x:c r="R49" t="str">
        <x:v>中</x:v>
      </x:c>
    </x:row>
    <x:row r="50">
      <x:c r="A50" t="n">
        <x:v>46296</x:v>
      </x:c>
      <x:c r="B50" t="str">
        <x:v>四</x:v>
      </x:c>
      <x:c r="C50" t="str">
        <x:v>傍晚</x:v>
      </x:c>
      <x:c r="D50" t="str">
        <x:v>按摩</x:v>
      </x:c>
      <x:c r="E50" t="str">
        <x:v>推薦</x:v>
      </x:c>
      <x:c r="F50" t="str">
        <x:v>Nimman House Massage</x:v>
      </x:c>
      <x:c r="G50" t="str">
        <x:v>Nimman</x:v>
      </x:c>
      <x:c r="H50" t="str">
        <x:v>逛街後順路。</x:v>
      </x:c>
      <x:c r="I50" t="str">
        <x:v>雨天適合</x:v>
      </x:c>
      <x:c r="J50" t="str">
        <x:v>預約</x:v>
      </x:c>
      <x:c r="K50" t="str">
        <x:v>購物袋可先送回飯店。</x:v>
      </x:c>
      <x:c r="L50" t="str">
        <x:v>估算</x:v>
      </x:c>
      <x:c r="M50" t="n">
        <x:v>600</x:v>
      </x:c>
      <x:c r="N50" t="n">
        <x:v>1400</x:v>
      </x:c>
      <x:c r="O50" t="n">
        <x:v>0</x:v>
      </x:c>
      <x:c r="P50" t="str">
        <x:v>2人。</x:v>
      </x:c>
      <x:c r="Q50" t="str">
        <x:v>—</x:v>
      </x:c>
      <x:c r="R50" t="str">
        <x:v>低</x:v>
      </x:c>
    </x:row>
    <x:row r="51">
      <x:c r="A51" t="n">
        <x:v>46296</x:v>
      </x:c>
      <x:c r="B51" t="str">
        <x:v>四</x:v>
      </x:c>
      <x:c r="C51" t="str">
        <x:v>15:00–22:00</x:v>
      </x:c>
      <x:c r="D51" t="str">
        <x:v>市集</x:v>
      </x:c>
      <x:c r="E51" t="str">
        <x:v>必要</x:v>
      </x:c>
      <x:c r="F51" t="str">
        <x:v>White Market @ One Nimman</x:v>
      </x:c>
      <x:c r="G51" t="str">
        <x:v>Nimman</x:v>
      </x:c>
      <x:c r="H51" t="str">
        <x:v>傍晚進場接晚餐。</x:v>
      </x:c>
      <x:c r="I51" t="str">
        <x:v>雨大縮短戶外，移One Nimman室內。</x:v>
      </x:c>
      <x:c r="J51" t="str">
        <x:v>現金</x:v>
      </x:c>
      <x:c r="K51" t="str">
        <x:v>戶外攤位受雨勢影響。</x:v>
      </x:c>
      <x:c r="L51" t="str">
        <x:v>估算</x:v>
      </x:c>
      <x:c r="M51" t="n">
        <x:v>300</x:v>
      </x:c>
      <x:c r="N51" t="n">
        <x:v>700</x:v>
      </x:c>
      <x:c r="O51" t="n">
        <x:v>0</x:v>
      </x:c>
      <x:c r="P51" t="str">
        <x:v>2人餐飲；購物另計。</x:v>
      </x:c>
      <x:c r="Q51" t="str">
        <x:v>—</x:v>
      </x:c>
      <x:c r="R51" t="str">
        <x:v>中</x:v>
      </x:c>
    </x:row>
    <x:row r="52">
      <x:c r="A52" t="n">
        <x:v>46296</x:v>
      </x:c>
      <x:c r="B52" t="str">
        <x:v>四</x:v>
      </x:c>
      <x:c r="C52" t="str">
        <x:v>晚餐</x:v>
      </x:c>
      <x:c r="D52" t="str">
        <x:v>餐飲</x:v>
      </x:c>
      <x:c r="E52" t="str">
        <x:v>可調整</x:v>
      </x:c>
      <x:c r="F52" t="str">
        <x:v>Mooyim JimJum Hotpot</x:v>
      </x:c>
      <x:c r="G52" t="str">
        <x:v>Nimman</x:v>
      </x:c>
      <x:c r="H52" t="str">
        <x:v>候位過久改附近。</x:v>
      </x:c>
      <x:c r="I52" t="str">
        <x:v>雨天正常</x:v>
      </x:c>
      <x:c r="J52" t="str">
        <x:v>—</x:v>
      </x:c>
      <x:c r="K52" t="str">
        <x:v>—</x:v>
      </x:c>
      <x:c r="L52" t="str">
        <x:v>估算</x:v>
      </x:c>
      <x:c r="M52" t="n">
        <x:v>500</x:v>
      </x:c>
      <x:c r="N52" t="n">
        <x:v>900</x:v>
      </x:c>
      <x:c r="O52" t="n">
        <x:v>0</x:v>
      </x:c>
      <x:c r="P52" t="str">
        <x:v>2人。</x:v>
      </x:c>
      <x:c r="Q52" t="str">
        <x:v>—</x:v>
      </x:c>
      <x:c r="R52" t="str">
        <x:v>低</x:v>
      </x:c>
    </x:row>
    <x:row r="53">
      <x:c r="A53" t="n">
        <x:v>46297</x:v>
      </x:c>
      <x:c r="B53" t="str">
        <x:v>五</x:v>
      </x:c>
      <x:c r="C53" t="str">
        <x:v>上午</x:v>
      </x:c>
      <x:c r="D53" t="str">
        <x:v>採買</x:v>
      </x:c>
      <x:c r="E53" t="str">
        <x:v>必要</x:v>
      </x:c>
      <x:c r="F53" t="str">
        <x:v>Warorot Market最後採買</x:v>
      </x:c>
      <x:c r="G53" t="str">
        <x:v>Chang Moi</x:v>
      </x:c>
      <x:c r="H53" t="str">
        <x:v>依清單一次買完；下午先秤行李。</x:v>
      </x:c>
      <x:c r="I53" t="str">
        <x:v>大雨保留室內區。</x:v>
      </x:c>
      <x:c r="J53" t="str">
        <x:v>大購物袋、現金</x:v>
      </x:c>
      <x:c r="K53" t="str">
        <x:v>肉乾/香腸不要帶回台。</x:v>
      </x:c>
      <x:c r="L53" t="str">
        <x:v>估算</x:v>
      </x:c>
      <x:c r="M53" t="n">
        <x:v>0</x:v>
      </x:c>
      <x:c r="N53" t="n">
        <x:v>400</x:v>
      </x:c>
      <x:c r="O53" t="n">
        <x:v>0</x:v>
      </x:c>
      <x:c r="P53" t="str">
        <x:v>不含購物。</x:v>
      </x:c>
      <x:c r="Q53" t="str">
        <x:v>—</x:v>
      </x:c>
      <x:c r="R53" t="str">
        <x:v>中</x:v>
      </x:c>
    </x:row>
    <x:row r="54">
      <x:c r="A54" t="n">
        <x:v>46297</x:v>
      </x:c>
      <x:c r="B54" t="str">
        <x:v>五</x:v>
      </x:c>
      <x:c r="C54" t="str">
        <x:v>中午–下午</x:v>
      </x:c>
      <x:c r="D54" t="str">
        <x:v>市集/備案</x:v>
      </x:c>
      <x:c r="E54" t="str">
        <x:v>待確認</x:v>
      </x:c>
      <x:c r="F54" t="str">
        <x:v>Jing Jai Friday活動</x:v>
      </x:c>
      <x:c r="G54" t="str">
        <x:v>Jing Jai</x:v>
      </x:c>
      <x:c r="H54" t="str">
        <x:v>10/2是第一個週五，但10月活動需官方再公告。</x:v>
      </x:c>
      <x:c r="I54" t="str">
        <x:v>未舉辦或下雨：MAIIAM / One Nimman。</x:v>
      </x:c>
      <x:c r="J54" t="str">
        <x:v>當週公告截圖</x:v>
      </x:c>
      <x:c r="K54" t="str">
        <x:v>不要當唯一主行程。</x:v>
      </x:c>
      <x:c r="L54" t="str">
        <x:v>估算</x:v>
      </x:c>
      <x:c r="M54" t="n">
        <x:v>200</x:v>
      </x:c>
      <x:c r="N54" t="n">
        <x:v>600</x:v>
      </x:c>
      <x:c r="O54" t="n">
        <x:v>0</x:v>
      </x:c>
      <x:c r="P54" t="str">
        <x:v>交通/飲食。</x:v>
      </x:c>
      <x:c r="Q54" t="str">
        <x:v>https://jingjaicentralchiangmai.com/market</x:v>
      </x:c>
      <x:c r="R54" t="str">
        <x:v>低</x:v>
      </x:c>
    </x:row>
    <x:row r="55">
      <x:c r="A55" t="n">
        <x:v>46297</x:v>
      </x:c>
      <x:c r="B55" t="str">
        <x:v>五</x:v>
      </x:c>
      <x:c r="C55" t="str">
        <x:v>晚餐</x:v>
      </x:c>
      <x:c r="D55" t="str">
        <x:v>餐飲</x:v>
      </x:c>
      <x:c r="E55" t="str">
        <x:v>推薦</x:v>
      </x:c>
      <x:c r="F55" t="str">
        <x:v>Baan Landai Fine Thai Cuisine</x:v>
      </x:c>
      <x:c r="G55" t="str">
        <x:v>市區</x:v>
      </x:c>
      <x:c r="H55" t="str">
        <x:v>最後晚餐建議提早訂位。</x:v>
      </x:c>
      <x:c r="I55" t="str">
        <x:v>雨天正常</x:v>
      </x:c>
      <x:c r="J55" t="str">
        <x:v>訂位</x:v>
      </x:c>
      <x:c r="K55" t="str">
        <x:v>不要太晚，回飯店打包。</x:v>
      </x:c>
      <x:c r="L55" t="str">
        <x:v>估算</x:v>
      </x:c>
      <x:c r="M55" t="n">
        <x:v>700</x:v>
      </x:c>
      <x:c r="N55" t="n">
        <x:v>1300</x:v>
      </x:c>
      <x:c r="O55" t="n">
        <x:v>0</x:v>
      </x:c>
      <x:c r="P55" t="str">
        <x:v>2人。</x:v>
      </x:c>
      <x:c r="Q55" t="str">
        <x:v>—</x:v>
      </x:c>
      <x:c r="R55" t="str">
        <x:v>中</x:v>
      </x:c>
    </x:row>
    <x:row r="56">
      <x:c r="A56" t="n">
        <x:v>46297</x:v>
      </x:c>
      <x:c r="B56" t="str">
        <x:v>五</x:v>
      </x:c>
      <x:c r="C56" t="str">
        <x:v>晚間</x:v>
      </x:c>
      <x:c r="D56" t="str">
        <x:v>按摩/甜點</x:v>
      </x:c>
      <x:c r="E56" t="str">
        <x:v>可調整</x:v>
      </x:c>
      <x:c r="F56" t="str">
        <x:v>Calm Massage / Banana Rotee</x:v>
      </x:c>
      <x:c r="G56" t="str">
        <x:v>市區</x:v>
      </x:c>
      <x:c r="H56" t="str">
        <x:v>依體力二選一，之後打包。</x:v>
      </x:c>
      <x:c r="I56" t="str">
        <x:v>雨天按摩優先</x:v>
      </x:c>
      <x:c r="J56" t="str">
        <x:v>預約</x:v>
      </x:c>
      <x:c r="K56" t="str">
        <x:v>設定鬧鐘、充電。</x:v>
      </x:c>
      <x:c r="L56" t="str">
        <x:v>估算</x:v>
      </x:c>
      <x:c r="M56" t="n">
        <x:v>700</x:v>
      </x:c>
      <x:c r="N56" t="n">
        <x:v>1600</x:v>
      </x:c>
      <x:c r="O56" t="n">
        <x:v>0</x:v>
      </x:c>
      <x:c r="P56" t="str">
        <x:v>2人。</x:v>
      </x:c>
      <x:c r="Q56" t="str">
        <x:v>—</x:v>
      </x:c>
      <x:c r="R56" t="str">
        <x:v>低</x:v>
      </x:c>
    </x:row>
    <x:row r="57">
      <x:c r="A57" t="n">
        <x:v>46298</x:v>
      </x:c>
      <x:c r="B57" t="str">
        <x:v>六</x:v>
      </x:c>
      <x:c r="C57" t="str">
        <x:v>早上</x:v>
      </x:c>
      <x:c r="D57" t="str">
        <x:v>市場/早餐</x:v>
      </x:c>
      <x:c r="E57" t="str">
        <x:v>推薦</x:v>
      </x:c>
      <x:c r="F57" t="str">
        <x:v>Chiang Mai Gate Market</x:v>
      </x:c>
      <x:c r="G57" t="str">
        <x:v>舊城南</x:v>
      </x:c>
      <x:c r="H57" t="str">
        <x:v>最後早餐，主行李前晚已打包。</x:v>
      </x:c>
      <x:c r="I57" t="str">
        <x:v>大雨飯店附近早餐。</x:v>
      </x:c>
      <x:c r="J57" t="str">
        <x:v>現金</x:v>
      </x:c>
      <x:c r="K57" t="str">
        <x:v>不要再買大型需托運物。</x:v>
      </x:c>
      <x:c r="L57" t="str">
        <x:v>估算</x:v>
      </x:c>
      <x:c r="M57" t="n">
        <x:v>200</x:v>
      </x:c>
      <x:c r="N57" t="n">
        <x:v>400</x:v>
      </x:c>
      <x:c r="O57" t="n">
        <x:v>0</x:v>
      </x:c>
      <x:c r="P57" t="str">
        <x:v>2人。</x:v>
      </x:c>
      <x:c r="Q57" t="str">
        <x:v>—</x:v>
      </x:c>
      <x:c r="R57" t="str">
        <x:v>中</x:v>
      </x:c>
    </x:row>
    <x:row r="58">
      <x:c r="A58" t="n">
        <x:v>46298</x:v>
      </x:c>
      <x:c r="B58" t="str">
        <x:v>六</x:v>
      </x:c>
      <x:c r="C58" t="str">
        <x:v>上午</x:v>
      </x:c>
      <x:c r="D58" t="str">
        <x:v>按摩</x:v>
      </x:c>
      <x:c r="E58" t="str">
        <x:v>可調整</x:v>
      </x:c>
      <x:c r="F58" t="str">
        <x:v>Boontathong（可選）</x:v>
      </x:c>
      <x:c r="G58" t="str">
        <x:v>市區</x:v>
      </x:c>
      <x:c r="H58" t="str">
        <x:v>只做短療程，保留機場緩衝。</x:v>
      </x:c>
      <x:c r="I58" t="str">
        <x:v>雨天可保留</x:v>
      </x:c>
      <x:c r="J58" t="str">
        <x:v>預約</x:v>
      </x:c>
      <x:c r="K58" t="str">
        <x:v>回程日不做2小時以上。</x:v>
      </x:c>
      <x:c r="L58" t="str">
        <x:v>估算</x:v>
      </x:c>
      <x:c r="M58" t="n">
        <x:v>500</x:v>
      </x:c>
      <x:c r="N58" t="n">
        <x:v>1000</x:v>
      </x:c>
      <x:c r="O58" t="n">
        <x:v>0</x:v>
      </x:c>
      <x:c r="P58" t="str">
        <x:v>2人。</x:v>
      </x:c>
      <x:c r="Q58" t="str">
        <x:v>—</x:v>
      </x:c>
      <x:c r="R58" t="str">
        <x:v>低</x:v>
      </x:c>
    </x:row>
    <x:row r="59">
      <x:c r="A59" t="n">
        <x:v>46298</x:v>
      </x:c>
      <x:c r="B59" t="str">
        <x:v>六</x:v>
      </x:c>
      <x:c r="C59" t="str">
        <x:v>約13:30–14:00</x:v>
      </x:c>
      <x:c r="D59" t="str">
        <x:v>交通</x:v>
      </x:c>
      <x:c r="E59" t="str">
        <x:v>必要</x:v>
      </x:c>
      <x:c r="F59" t="str">
        <x:v>Himku→CNX</x:v>
      </x:c>
      <x:c r="G59" t="str">
        <x:v>市區→機場</x:v>
      </x:c>
      <x:c r="H59" t="str">
        <x:v>約14:00前後出發，依航空最終要求調整。</x:v>
      </x:c>
      <x:c r="I59" t="str">
        <x:v>豪雨/塞車再提早。</x:v>
      </x:c>
      <x:c r="J59" t="str">
        <x:v>護照、行李、退稅單</x:v>
      </x:c>
      <x:c r="K59" t="str">
        <x:v>國際線至少預留約3小時較安心。</x:v>
      </x:c>
      <x:c r="L59" t="str">
        <x:v>估算</x:v>
      </x:c>
      <x:c r="M59" t="n">
        <x:v>150</x:v>
      </x:c>
      <x:c r="N59" t="n">
        <x:v>250</x:v>
      </x:c>
      <x:c r="O59" t="n">
        <x:v>0</x:v>
      </x:c>
      <x:c r="P59" t="str">
        <x:v>1車。</x:v>
      </x:c>
      <x:c r="Q59" t="str">
        <x:v>—</x:v>
      </x:c>
      <x:c r="R59" t="str">
        <x:v>中</x:v>
      </x:c>
    </x:row>
    <x:row r="60">
      <x:c r="A60" t="n">
        <x:v>46298</x:v>
      </x:c>
      <x:c r="B60" t="str">
        <x:v>六</x:v>
      </x:c>
      <x:c r="C60" t="str">
        <x:v>17:20–22:15</x:v>
      </x:c>
      <x:c r="D60" t="str">
        <x:v>航班</x:v>
      </x:c>
      <x:c r="E60" t="str">
        <x:v>必要</x:v>
      </x:c>
      <x:c r="F60" t="str">
        <x:v>JX752 CNX→TPE</x:v>
      </x:c>
      <x:c r="G60" t="str">
        <x:v>清邁→桃園</x:v>
      </x:c>
      <x:c r="H60" t="str">
        <x:v>報到、安檢、出境；行動電源放可控制位置。</x:v>
      </x:c>
      <x:c r="I60" t="str">
        <x:v>不適用</x:v>
      </x:c>
      <x:c r="J60" t="str">
        <x:v>護照、登機證</x:v>
      </x:c>
      <x:c r="K60" t="str">
        <x:v>每人最多2個；飛行中禁用/充電。</x:v>
      </x:c>
      <x:c r="L60" t="str">
        <x:v>依訂單</x:v>
      </x:c>
      <x:c r="M60" t="n">
        <x:v>0</x:v>
      </x:c>
      <x:c r="N60" t="n">
        <x:v>0</x:v>
      </x:c>
      <x:c r="O60" t="n">
        <x:v>0</x:v>
      </x:c>
      <x:c r="P60" t="str">
        <x:v>機票價格未提供。</x:v>
      </x:c>
      <x:c r="Q60" t="str">
        <x:v>https://www.starlux-airlines.com/en-Global/check-in-fly/travel-information/inflight-notice/regulations-on-the-use-of-electronic-devices</x:v>
      </x:c>
      <x:c r="R60" t="str">
        <x:v>高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t="str">
        <x:v>雨天/雷雨備案｜不是整天取消，而是換順序</x:v>
      </x:c>
      <x:c r="B1"/>
      <x:c r="C1"/>
      <x:c r="D1"/>
      <x:c r="E1"/>
      <x:c r="F1"/>
      <x:c r="G1"/>
      <x:c r="H1"/>
      <x:c r="I1"/>
    </x:row>
    <x:row r="2">
      <x:c r="A2" t="str">
        <x:v>9月北部月預報約17–19個雨日、160–200mm；9/20起每天更新短期預報。</x:v>
      </x:c>
      <x:c r="B2"/>
      <x:c r="C2"/>
      <x:c r="D2"/>
      <x:c r="E2"/>
      <x:c r="F2"/>
      <x:c r="G2"/>
      <x:c r="H2"/>
      <x:c r="I2"/>
    </x:row>
    <x:row r="3">
      <x:c r="A3"/>
      <x:c r="B3"/>
      <x:c r="C3"/>
      <x:c r="D3"/>
      <x:c r="E3"/>
      <x:c r="F3"/>
      <x:c r="G3"/>
      <x:c r="H3"/>
      <x:c r="I3"/>
    </x:row>
    <x:row r="4">
      <x:c r="A4" t="str">
        <x:v>日期/情境</x:v>
      </x:c>
      <x:c r="B4" t="str">
        <x:v>原戶外行程</x:v>
      </x:c>
      <x:c r="C4" t="str">
        <x:v>觸發條件</x:v>
      </x:c>
      <x:c r="D4" t="str">
        <x:v>替代1</x:v>
      </x:c>
      <x:c r="E4" t="str">
        <x:v>替代2</x:v>
      </x:c>
      <x:c r="F4" t="str">
        <x:v>2人參考費</x:v>
      </x:c>
      <x:c r="G4" t="str">
        <x:v>何時決定</x:v>
      </x:c>
      <x:c r="H4" t="str">
        <x:v>保留項目</x:v>
      </x:c>
      <x:c r="I4" t="str">
        <x:v>備註</x:v>
      </x:c>
    </x:row>
    <x:row r="5">
      <x:c r="A5" t="str">
        <x:v>9/23抵達</x:v>
      </x:c>
      <x:c r="B5" t="str">
        <x:v>Central/外出</x:v>
      </x:c>
      <x:c r="C5" t="str">
        <x:v>接駁時間緊或雷雨</x:v>
      </x:c>
      <x:c r="D5" t="str">
        <x:v>直接Chai Lai</x:v>
      </x:c>
      <x:c r="E5" t="str">
        <x:v>住宿內休息/按摩</x:v>
      </x:c>
      <x:c r="F5" t="str">
        <x:v>依消費</x:v>
      </x:c>
      <x:c r="G5" t="str">
        <x:v>抵達後</x:v>
      </x:c>
      <x:c r="H5" t="str">
        <x:v>接駁</x:v>
      </x:c>
      <x:c r="I5" t="str">
        <x:v>第一天不值得趕</x:v>
      </x:c>
    </x:row>
    <x:row r="6">
      <x:c r="A6" t="str">
        <x:v>9/24大象</x:v>
      </x:c>
      <x:c r="B6" t="str">
        <x:v>Kerchor</x:v>
      </x:c>
      <x:c r="C6" t="str">
        <x:v>業者停辦/道路風險</x:v>
      </x:c>
      <x:c r="D6" t="str">
        <x:v>MAIIAM</x:v>
      </x:c>
      <x:c r="E6" t="str">
        <x:v>City Arts＋Lanna＋SPA</x:v>
      </x:c>
      <x:c r="F6" t="str">
        <x:v>約400 / 360 THB起</x:v>
      </x:c>
      <x:c r="G6" t="str">
        <x:v>9/23晚</x:v>
      </x:c>
      <x:c r="H6" t="str">
        <x:v>Himku入住</x:v>
      </x:c>
      <x:c r="I6" t="str">
        <x:v>一般小雨可能照常，以業者判斷</x:v>
      </x:c>
    </x:row>
    <x:row r="7">
      <x:c r="A7" t="str">
        <x:v>9/25Skyline</x:v>
      </x:c>
      <x:c r="B7" t="str">
        <x:v>高空活動</x:v>
      </x:c>
      <x:c r="C7" t="str">
        <x:v>雷雨/業者停辦</x:v>
      </x:c>
      <x:c r="D7" t="str">
        <x:v>MAIIAM</x:v>
      </x:c>
      <x:c r="E7" t="str">
        <x:v>One Nimman/MAYA＋SPA</x:v>
      </x:c>
      <x:c r="F7" t="str">
        <x:v>約400 THB起</x:v>
      </x:c>
      <x:c r="G7" t="str">
        <x:v>前一晚</x:v>
      </x:c>
      <x:c r="H7" t="str">
        <x:v>Warorot</x:v>
      </x:c>
      <x:c r="I7" t="str">
        <x:v>不要自行判定安全</x:v>
      </x:c>
    </x:row>
    <x:row r="8">
      <x:c r="A8" t="str">
        <x:v>9/26Chamcha</x:v>
      </x:c>
      <x:c r="B8" t="str">
        <x:v>戶外市集</x:v>
      </x:c>
      <x:c r="C8" t="str">
        <x:v>持續中大雨</x:v>
      </x:c>
      <x:c r="D8" t="str">
        <x:v>MAIIAM</x:v>
      </x:c>
      <x:c r="E8" t="str">
        <x:v>Meena＋咖啡</x:v>
      </x:c>
      <x:c r="F8" t="str">
        <x:v>約400＋餐費</x:v>
      </x:c>
      <x:c r="G8" t="str">
        <x:v>出發前</x:v>
      </x:c>
      <x:c r="H8" t="str">
        <x:v>Meena</x:v>
      </x:c>
      <x:c r="I8" t="str">
        <x:v>同方向好替換</x:v>
      </x:c>
    </x:row>
    <x:row r="9">
      <x:c r="A9" t="str">
        <x:v>9/26週六夜市</x:v>
      </x:c>
      <x:c r="B9" t="str">
        <x:v>Wua Lai</x:v>
      </x:c>
      <x:c r="C9" t="str">
        <x:v>晚間大雨</x:v>
      </x:c>
      <x:c r="D9" t="str">
        <x:v>Central Airport</x:v>
      </x:c>
      <x:c r="E9" t="str">
        <x:v>One Nimman＋按摩</x:v>
      </x:c>
      <x:c r="F9" t="str">
        <x:v>依消費</x:v>
      </x:c>
      <x:c r="G9" t="str">
        <x:v>16:00</x:v>
      </x:c>
      <x:c r="H9" t="str">
        <x:v>晚餐</x:v>
      </x:c>
      <x:c r="I9" t="str">
        <x:v>夜市不是必須</x:v>
      </x:c>
    </x:row>
    <x:row r="10">
      <x:c r="A10" t="str">
        <x:v>9/27市場日</x:v>
      </x:c>
      <x:c r="B10" t="str">
        <x:v>Jing Jai/次市集</x:v>
      </x:c>
      <x:c r="C10" t="str">
        <x:v>中大雨</x:v>
      </x:c>
      <x:c r="D10" t="str">
        <x:v>Jing Jai縮短</x:v>
      </x:c>
      <x:c r="E10" t="str">
        <x:v>City Arts＋Lanna</x:v>
      </x:c>
      <x:c r="F10" t="str">
        <x:v>約360 THB</x:v>
      </x:c>
      <x:c r="G10" t="str">
        <x:v>早上</x:v>
      </x:c>
      <x:c r="H10" t="str">
        <x:v>Sunday Market看晚間</x:v>
      </x:c>
      <x:c r="I10" t="str">
        <x:v>次市集先刪</x:v>
      </x:c>
    </x:row>
    <x:row r="11">
      <x:c r="A11" t="str">
        <x:v>9/27Sunday Market</x:v>
      </x:c>
      <x:c r="B11" t="str">
        <x:v>步行街</x:v>
      </x:c>
      <x:c r="C11" t="str">
        <x:v>17:00前仍大雨</x:v>
      </x:c>
      <x:c r="D11" t="str">
        <x:v>古城餐廳＋Lila</x:v>
      </x:c>
      <x:c r="E11" t="str">
        <x:v>One Nimman</x:v>
      </x:c>
      <x:c r="F11" t="str">
        <x:v>依療程</x:v>
      </x:c>
      <x:c r="G11" t="str">
        <x:v>16:30</x:v>
      </x:c>
      <x:c r="H11" t="str">
        <x:v>晚餐</x:v>
      </x:c>
      <x:c r="I11" t="str">
        <x:v>雨停可短逛</x:v>
      </x:c>
    </x:row>
    <x:row r="12">
      <x:c r="A12" t="str">
        <x:v>9/28Chang Moi</x:v>
      </x:c>
      <x:c r="B12" t="str">
        <x:v>藤編/步行</x:v>
      </x:c>
      <x:c r="C12" t="str">
        <x:v>中大雨</x:v>
      </x:c>
      <x:c r="D12" t="str">
        <x:v>Warorot室內</x:v>
      </x:c>
      <x:c r="E12" t="str">
        <x:v>Fah Lanna提早</x:v>
      </x:c>
      <x:c r="F12" t="str">
        <x:v>依消費</x:v>
      </x:c>
      <x:c r="G12" t="str">
        <x:v>早餐後</x:v>
      </x:c>
      <x:c r="H12" t="str">
        <x:v>SPA</x:v>
      </x:c>
      <x:c r="I12" t="str">
        <x:v>週一館舍多休</x:v>
      </x:c>
    </x:row>
    <x:row r="13">
      <x:c r="A13" t="str">
        <x:v>9/29寺廟</x:v>
      </x:c>
      <x:c r="B13" t="str">
        <x:v>帕邢/柴迪隆</x:v>
      </x:c>
      <x:c r="C13" t="str">
        <x:v>雷雨</x:v>
      </x:c>
      <x:c r="D13" t="str">
        <x:v>咖啡/商場</x:v>
      </x:c>
      <x:c r="E13" t="str">
        <x:v>按摩＋餐廳</x:v>
      </x:c>
      <x:c r="F13" t="str">
        <x:v>依消費</x:v>
      </x:c>
      <x:c r="G13" t="str">
        <x:v>14:00</x:v>
      </x:c>
      <x:c r="H13" t="str">
        <x:v>雨小再去寺廟</x:v>
      </x:c>
      <x:c r="I13" t="str">
        <x:v>週二館舍雨備有限</x:v>
      </x:c>
    </x:row>
    <x:row r="14">
      <x:c r="A14" t="str">
        <x:v>9/30塔佩</x:v>
      </x:c>
      <x:c r="B14" t="str">
        <x:v>戶外拍照</x:v>
      </x:c>
      <x:c r="C14" t="str">
        <x:v>中大雨</x:v>
      </x:c>
      <x:c r="D14" t="str">
        <x:v>City Arts Centre</x:v>
      </x:c>
      <x:c r="E14" t="str">
        <x:v>Lanna Folklife</x:v>
      </x:c>
      <x:c r="F14" t="str">
        <x:v>約360 THB</x:v>
      </x:c>
      <x:c r="G14" t="str">
        <x:v>午餐後</x:v>
      </x:c>
      <x:c r="H14" t="str">
        <x:v>B Samcook</x:v>
      </x:c>
      <x:c r="I14" t="str">
        <x:v>兩館同區</x:v>
      </x:c>
    </x:row>
    <x:row r="15">
      <x:c r="A15" t="str">
        <x:v>10/1藝術村</x:v>
      </x:c>
      <x:c r="B15" t="str">
        <x:v>Baan Kang Wat</x:v>
      </x:c>
      <x:c r="C15" t="str">
        <x:v>中大雨</x:v>
      </x:c>
      <x:c r="D15" t="str">
        <x:v>One Nimman</x:v>
      </x:c>
      <x:c r="E15" t="str">
        <x:v>MAYA＋按摩</x:v>
      </x:c>
      <x:c r="F15" t="str">
        <x:v>依消費</x:v>
      </x:c>
      <x:c r="G15" t="str">
        <x:v>09:00</x:v>
      </x:c>
      <x:c r="H15" t="str">
        <x:v>Nimman</x:v>
      </x:c>
      <x:c r="I15" t="str">
        <x:v>陣雨可照走</x:v>
      </x:c>
    </x:row>
    <x:row r="16">
      <x:c r="A16" t="str">
        <x:v>10/2Friday</x:v>
      </x:c>
      <x:c r="B16" t="str">
        <x:v>Jing Jai活動</x:v>
      </x:c>
      <x:c r="C16" t="str">
        <x:v>未公告或下雨</x:v>
      </x:c>
      <x:c r="D16" t="str">
        <x:v>MAIIAM</x:v>
      </x:c>
      <x:c r="E16" t="str">
        <x:v>One Nimman/採買</x:v>
      </x:c>
      <x:c r="F16" t="str">
        <x:v>約400 THB起</x:v>
      </x:c>
      <x:c r="G16" t="str">
        <x:v>10/1晚</x:v>
      </x:c>
      <x:c r="H16" t="str">
        <x:v>Warorot＋晚餐</x:v>
      </x:c>
      <x:c r="I16" t="str">
        <x:v>本來就非確定主行程</x:v>
      </x:c>
    </x:row>
    <x:row r="17">
      <x:c r="A17" t="str">
        <x:v>10/3回程</x:v>
      </x:c>
      <x:c r="B17" t="str">
        <x:v>市場/按摩</x:v>
      </x:c>
      <x:c r="C17" t="str">
        <x:v>豪雨/交通不穩</x:v>
      </x:c>
      <x:c r="D17" t="str">
        <x:v>飯店早餐後提早機場</x:v>
      </x:c>
      <x:c r="E17" t="str">
        <x:v>CNX內用餐</x:v>
      </x:c>
      <x:c r="F17" t="str">
        <x:v>依消費</x:v>
      </x:c>
      <x:c r="G17" t="str">
        <x:v>早上</x:v>
      </x:c>
      <x:c r="H17" t="str">
        <x:v>JX752</x:v>
      </x:c>
      <x:c r="I17" t="str">
        <x:v>不賭交通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t="str">
        <x:v>預算中心｜THB/TWD分開＋可調匯率</x:v>
      </x:c>
      <x:c r="B1"/>
      <x:c r="C1"/>
      <x:c r="D1"/>
      <x:c r="E1"/>
      <x:c r="F1"/>
      <x:c r="G1"/>
      <x:c r="H1"/>
      <x:c r="I1"/>
      <x:c r="J1"/>
    </x:row>
    <x:row r="2">
      <x:c r="A2" t="str">
        <x:v>黃色儲存格可修改。40,000 THB財力要求是入境佐證，不是預計花掉的旅行支出。</x:v>
      </x:c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t="str">
        <x:v>輸入</x:v>
      </x:c>
      <x:c r="B4" t="str">
        <x:v>數值</x:v>
      </x:c>
      <x:c r="C4" t="str">
        <x:v>用途</x:v>
      </x:c>
      <x:c r="D4" t="str">
        <x:v>說明</x:v>
      </x:c>
      <x:c r="E4"/>
      <x:c r="F4" t="str">
        <x:v>指標</x:v>
      </x:c>
      <x:c r="G4" t="str">
        <x:v>低估THB</x:v>
      </x:c>
      <x:c r="H4" t="str">
        <x:v>高估THB</x:v>
      </x:c>
      <x:c r="I4" t="str">
        <x:v>已知TWD</x:v>
      </x:c>
      <x:c r="J4" t="str">
        <x:v>高估換算TWD</x:v>
      </x:c>
    </x:row>
    <x:row r="5">
      <x:c r="A5" t="str">
        <x:v>參考匯率：1 THB=TWD</x:v>
      </x:c>
      <x:c r="B5" t="n">
        <x:v>0.96</x:v>
      </x:c>
      <x:c r="C5" t="str">
        <x:v>估算換算</x:v>
      </x:c>
      <x:c r="D5" t="str">
        <x:v>2026/09/11市場參考；刷卡/換匯不同</x:v>
      </x:c>
      <x:c r="E5"/>
      <x:c r="F5" t="str">
        <x:v>核心行程合計</x:v>
      </x:c>
      <x:c r="G5" t="n">
        <x:f>SUM('10行程明細'!M5:M60)</x:f>
        <x:v>21238</x:v>
      </x:c>
      <x:c r="H5" t="n">
        <x:f>SUM('10行程明細'!N5:N60)</x:f>
        <x:v>43458</x:v>
      </x:c>
      <x:c r="I5" t="n">
        <x:f>SUM('10行程明細'!O5:O60)</x:f>
        <x:v>20391</x:v>
      </x:c>
      <x:c r="J5" t="n">
        <x:f>H5*$B$5+I5</x:f>
        <x:v>62110.68</x:v>
      </x:c>
    </x:row>
    <x:row r="6">
      <x:c r="A6" t="str">
        <x:v>台灣買泰銖現鈔參考</x:v>
      </x:c>
      <x:c r="B6" t="n">
        <x:v>1.0192</x:v>
      </x:c>
      <x:c r="C6" t="str">
        <x:v>現金成本感覺</x:v>
      </x:c>
      <x:c r="D6" t="str">
        <x:v>近期台銀現鈔賣出參考；僅示意</x:v>
      </x:c>
      <x:c r="E6"/>
      <x:c r="F6" t="str">
        <x:v>住宿已知</x:v>
      </x:c>
      <x:c r="G6" t="n">
        <x:v>0</x:v>
      </x:c>
      <x:c r="H6" t="n">
        <x:v>0</x:v>
      </x:c>
      <x:c r="I6" t="n">
        <x:f>1739+16340</x:f>
        <x:v>18079</x:v>
      </x:c>
      <x:c r="J6" t="n">
        <x:f>I6</x:f>
        <x:v>18079</x:v>
      </x:c>
    </x:row>
    <x:row r="7">
      <x:c r="A7" t="str">
        <x:v>2人購物預算THB</x:v>
      </x:c>
      <x:c r="B7" t="n">
        <x:v>0</x:v>
      </x:c>
      <x:c r="C7" t="str">
        <x:v>自行填</x:v>
      </x:c>
      <x:c r="D7" t="str">
        <x:v>不納入核心行程</x:v>
      </x:c>
      <x:c r="E7"/>
      <x:c r="F7" t="str">
        <x:v>購物預算（自填）</x:v>
      </x:c>
      <x:c r="G7" t="n">
        <x:f>$B$7</x:f>
        <x:v>0</x:v>
      </x:c>
      <x:c r="H7" t="n">
        <x:f>$B$7</x:f>
        <x:v>0</x:v>
      </x:c>
      <x:c r="I7" t="n">
        <x:v>0</x:v>
      </x:c>
      <x:c r="J7" t="n">
        <x:f>H7*$B$5</x:f>
        <x:v>0</x:v>
      </x:c>
    </x:row>
    <x:row r="8">
      <x:c r="A8" t="str">
        <x:v>2人緊急預備金THB</x:v>
      </x:c>
      <x:c r="B8" t="n">
        <x:v>5000</x:v>
      </x:c>
      <x:c r="C8" t="str">
        <x:v>保留不用</x:v>
      </x:c>
      <x:c r="D8" t="str">
        <x:v>不是預計花掉</x:v>
      </x:c>
      <x:c r="E8"/>
      <x:c r="F8" t="str">
        <x:v>緊急預備金（不花）</x:v>
      </x:c>
      <x:c r="G8" t="n">
        <x:f>$B$8</x:f>
        <x:v>5000</x:v>
      </x:c>
      <x:c r="H8" t="n">
        <x:f>$B$8</x:f>
        <x:v>5000</x:v>
      </x:c>
      <x:c r="I8" t="n">
        <x:v>0</x:v>
      </x:c>
      <x:c r="J8" t="n">
        <x:f>H8*$B$5</x:f>
        <x:v>4800</x:v>
      </x:c>
    </x:row>
    <x:row r="9">
      <x:c r="A9" t="str">
        <x:v>2人旅遊保險實付TWD</x:v>
      </x:c>
      <x:c r="B9" t="n">
        <x:v>0</x:v>
      </x:c>
      <x:c r="C9" t="str">
        <x:v>自行填</x:v>
      </x:c>
      <x:c r="D9" t="str">
        <x:v>正式投保後填；10日比較不等於本次實際保期</x:v>
      </x:c>
      <x:c r="E9"/>
      <x:c r="F9" t="str">
        <x:v>入境財力（非支出）</x:v>
      </x:c>
      <x:c r="G9" t="n">
        <x:v>40000</x:v>
      </x:c>
      <x:c r="H9" t="n">
        <x:v>40000</x:v>
      </x:c>
      <x:c r="I9" t="n">
        <x:v>0</x:v>
      </x:c>
      <x:c r="J9" t="n">
        <x:f>40000*$B$5</x:f>
        <x:v>38400</x:v>
      </x:c>
    </x:row>
    <x:row r="10">
      <x:c r="A10"/>
      <x:c r="B10"/>
      <x:c r="C10"/>
      <x:c r="D10"/>
      <x:c r="E10"/>
      <x:c r="F10"/>
      <x:c r="G10"/>
      <x:c r="H10"/>
      <x:c r="I10"/>
      <x:c r="J10"/>
    </x:row>
    <x:row r="11">
      <x:c r="A11" t="str">
        <x:v>日期</x:v>
      </x:c>
      <x:c r="B11" t="str">
        <x:v>2人低THB</x:v>
      </x:c>
      <x:c r="C11" t="str">
        <x:v>2人高THB</x:v>
      </x:c>
      <x:c r="D11" t="str">
        <x:v>已知TWD</x:v>
      </x:c>
      <x:c r="E11" t="str">
        <x:v>高估換算TWD</x:v>
      </x:c>
      <x:c r="F11" t="str">
        <x:v>備註</x:v>
      </x:c>
      <x:c r="G11"/>
      <x:c r="H11" t="str">
        <x:v>價格標記</x:v>
      </x:c>
      <x:c r="I11" t="str">
        <x:v>意思</x:v>
      </x:c>
      <x:c r="J11" t="str">
        <x:v>怎麼看</x:v>
      </x:c>
    </x:row>
    <x:row r="12">
      <x:c r="A12" t="n">
        <x:v>46288</x:v>
      </x:c>
      <x:c r="B12" t="n">
        <x:f>SUMIFS('10行程明細'!$M$5:$M$60,'10行程明細'!$A$5:$A$60,A12)</x:f>
        <x:v>1898</x:v>
      </x:c>
      <x:c r="C12" t="n">
        <x:f>SUMIFS('10行程明細'!$N$5:$N$60,'10行程明細'!$A$5:$A$60,A12)</x:f>
        <x:v>2698</x:v>
      </x:c>
      <x:c r="D12" t="n">
        <x:f>SUMIFS('10行程明細'!$O$5:$O$60,'10行程明細'!$A$5:$A$60,A12)</x:f>
        <x:v>1739</x:v>
      </x:c>
      <x:c r="E12" t="n">
        <x:f>C12*$B$5+D12</x:f>
        <x:v>4329.08</x:v>
      </x:c>
      <x:c r="F12" t="str">
        <x:v>不含機票、購物與未提供實際訂單價</x:v>
      </x:c>
      <x:c r="G12"/>
      <x:c r="H12" t="str">
        <x:v>已知TWD</x:v>
      </x:c>
      <x:c r="I12" t="str">
        <x:v>你提供/原始資料有明確台幣價</x:v>
      </x:c>
      <x:c r="J12" t="str">
        <x:v>可直接納入</x:v>
      </x:c>
    </x:row>
    <x:row r="13">
      <x:c r="A13" t="n">
        <x:v>46289</x:v>
      </x:c>
      <x:c r="B13" t="n">
        <x:f>SUMIFS('10行程明細'!$M$5:$M$60,'10行程明細'!$A$5:$A$60,A13)</x:f>
        <x:v>1400</x:v>
      </x:c>
      <x:c r="C13" t="n">
        <x:f>SUMIFS('10行程明細'!$N$5:$N$60,'10行程明細'!$A$5:$A$60,A13)</x:f>
        <x:v>3800</x:v>
      </x:c>
      <x:c r="D13" t="n">
        <x:f>SUMIFS('10行程明細'!$O$5:$O$60,'10行程明細'!$A$5:$A$60,A13)</x:f>
        <x:v>18652</x:v>
      </x:c>
      <x:c r="E13" t="n">
        <x:f>C13*$B$5+D13</x:f>
        <x:v>22300</x:v>
      </x:c>
      <x:c r="F13" t="str">
        <x:v>不含機票、購物與未提供實際訂單價</x:v>
      </x:c>
      <x:c r="G13"/>
      <x:c r="H13" t="str">
        <x:v>官方固定價</x:v>
      </x:c>
      <x:c r="I13" t="str">
        <x:v>目前官方頁有明確價格</x:v>
      </x:c>
      <x:c r="J13" t="str">
        <x:v>仍可能日後調整</x:v>
      </x:c>
    </x:row>
    <x:row r="14">
      <x:c r="A14" t="n">
        <x:v>46290</x:v>
      </x:c>
      <x:c r="B14" t="n">
        <x:f>SUMIFS('10行程明細'!$M$5:$M$60,'10行程明細'!$A$5:$A$60,A14)</x:f>
        <x:v>6060</x:v>
      </x:c>
      <x:c r="C14" t="n">
        <x:f>SUMIFS('10行程明細'!$N$5:$N$60,'10行程明細'!$A$5:$A$60,A14)</x:f>
        <x:v>7700</x:v>
      </x:c>
      <x:c r="D14" t="n">
        <x:f>SUMIFS('10行程明細'!$O$5:$O$60,'10行程明細'!$A$5:$A$60,A14)</x:f>
        <x:v>0</x:v>
      </x:c>
      <x:c r="E14" t="n">
        <x:f>C14*$B$5+D14</x:f>
        <x:v>7392</x:v>
      </x:c>
      <x:c r="F14" t="str">
        <x:v>不含機票、購物與未提供實際訂單價</x:v>
      </x:c>
      <x:c r="G14"/>
      <x:c r="H14" t="str">
        <x:v>KKday起價</x:v>
      </x:c>
      <x:c r="I14" t="str">
        <x:v>商品頁最低顯示價</x:v>
      </x:c>
      <x:c r="J14" t="str">
        <x:v>你的日期/方案可能更高</x:v>
      </x:c>
    </x:row>
    <x:row r="15">
      <x:c r="A15" t="n">
        <x:v>46291</x:v>
      </x:c>
      <x:c r="B15" t="n">
        <x:f>SUMIFS('10行程明細'!$M$5:$M$60,'10行程明細'!$A$5:$A$60,A15)</x:f>
        <x:v>980</x:v>
      </x:c>
      <x:c r="C15" t="n">
        <x:f>SUMIFS('10行程明細'!$N$5:$N$60,'10行程明細'!$A$5:$A$60,A15)</x:f>
        <x:v>2380</x:v>
      </x:c>
      <x:c r="D15" t="n">
        <x:f>SUMIFS('10行程明細'!$O$5:$O$60,'10行程明細'!$A$5:$A$60,A15)</x:f>
        <x:v>0</x:v>
      </x:c>
      <x:c r="E15" t="n">
        <x:f>C15*$B$5+D15</x:f>
        <x:v>2284.7999999999997</x:v>
      </x:c>
      <x:c r="F15" t="str">
        <x:v>不含機票、購物與未提供實際訂單價</x:v>
      </x:c>
      <x:c r="G15"/>
      <x:c r="H15" t="str">
        <x:v>估算</x:v>
      </x:c>
      <x:c r="I15" t="str">
        <x:v>依常見消費抓範圍</x:v>
      </x:c>
      <x:c r="J15" t="str">
        <x:v>不是店家承諾價</x:v>
      </x:c>
    </x:row>
    <x:row r="16">
      <x:c r="A16" t="n">
        <x:v>46292</x:v>
      </x:c>
      <x:c r="B16" t="n">
        <x:f>SUMIFS('10行程明細'!$M$5:$M$60,'10行程明細'!$A$5:$A$60,A16)</x:f>
        <x:v>2000</x:v>
      </x:c>
      <x:c r="C16" t="n">
        <x:f>SUMIFS('10行程明細'!$N$5:$N$60,'10行程明細'!$A$5:$A$60,A16)</x:f>
        <x:v>4900</x:v>
      </x:c>
      <x:c r="D16" t="n">
        <x:f>SUMIFS('10行程明細'!$O$5:$O$60,'10行程明細'!$A$5:$A$60,A16)</x:f>
        <x:v>0</x:v>
      </x:c>
      <x:c r="E16" t="n">
        <x:f>C16*$B$5+D16</x:f>
        <x:v>4704</x:v>
      </x:c>
      <x:c r="F16" t="str">
        <x:v>不含機票、購物與未提供實際訂單價</x:v>
      </x:c>
      <x:c r="G16"/>
      <x:c r="H16" t="str">
        <x:v>待確認/依訂單</x:v>
      </x:c>
      <x:c r="I16" t="str">
        <x:v>缺你的付款資料</x:v>
      </x:c>
      <x:c r="J16" t="str">
        <x:v>補入13訂單付款</x:v>
      </x:c>
    </x:row>
    <x:row r="17">
      <x:c r="A17" t="n">
        <x:v>46293</x:v>
      </x:c>
      <x:c r="B17" t="n">
        <x:f>SUMIFS('10行程明細'!$M$5:$M$60,'10行程明細'!$A$5:$A$60,A17)</x:f>
        <x:v>2300</x:v>
      </x:c>
      <x:c r="C17" t="n">
        <x:f>SUMIFS('10行程明細'!$N$5:$N$60,'10行程明細'!$A$5:$A$60,A17)</x:f>
        <x:v>5200</x:v>
      </x:c>
      <x:c r="D17" t="n">
        <x:f>SUMIFS('10行程明細'!$O$5:$O$60,'10行程明細'!$A$5:$A$60,A17)</x:f>
        <x:v>0</x:v>
      </x:c>
      <x:c r="E17" t="n">
        <x:f>C17*$B$5+D17</x:f>
        <x:v>4992</x:v>
      </x:c>
      <x:c r="F17" t="str">
        <x:v>不含機票、購物與未提供實際訂單價</x:v>
      </x:c>
      <x:c r="G17"/>
      <x:c r="H17"/>
      <x:c r="I17"/>
      <x:c r="J17"/>
    </x:row>
    <x:row r="18">
      <x:c r="A18" t="n">
        <x:v>46294</x:v>
      </x:c>
      <x:c r="B18" t="n">
        <x:f>SUMIFS('10行程明細'!$M$5:$M$60,'10行程明細'!$A$5:$A$60,A18)</x:f>
        <x:v>1490</x:v>
      </x:c>
      <x:c r="C18" t="n">
        <x:f>SUMIFS('10行程明細'!$N$5:$N$60,'10行程明細'!$A$5:$A$60,A18)</x:f>
        <x:v>4650</x:v>
      </x:c>
      <x:c r="D18" t="n">
        <x:f>SUMIFS('10行程明細'!$O$5:$O$60,'10行程明細'!$A$5:$A$60,A18)</x:f>
        <x:v>0</x:v>
      </x:c>
      <x:c r="E18" t="n">
        <x:f>C18*$B$5+D18</x:f>
        <x:v>4464</x:v>
      </x:c>
      <x:c r="F18" t="str">
        <x:v>不含機票、購物與未提供實際訂單價</x:v>
      </x:c>
      <x:c r="G18"/>
      <x:c r="H18"/>
      <x:c r="I18"/>
      <x:c r="J18"/>
    </x:row>
    <x:row r="19">
      <x:c r="A19" t="n">
        <x:v>46295</x:v>
      </x:c>
      <x:c r="B19" t="n">
        <x:f>SUMIFS('10行程明細'!$M$5:$M$60,'10行程明細'!$A$5:$A$60,A19)</x:f>
        <x:v>860</x:v>
      </x:c>
      <x:c r="C19" t="n">
        <x:f>SUMIFS('10行程明細'!$N$5:$N$60,'10行程明細'!$A$5:$A$60,A19)</x:f>
        <x:v>2480</x:v>
      </x:c>
      <x:c r="D19" t="n">
        <x:f>SUMIFS('10行程明細'!$O$5:$O$60,'10行程明細'!$A$5:$A$60,A19)</x:f>
        <x:v>0</x:v>
      </x:c>
      <x:c r="E19" t="n">
        <x:f>C19*$B$5+D19</x:f>
        <x:v>2380.7999999999997</x:v>
      </x:c>
      <x:c r="F19" t="str">
        <x:v>不含機票、購物與未提供實際訂單價</x:v>
      </x:c>
      <x:c r="G19"/>
      <x:c r="H19"/>
      <x:c r="I19"/>
      <x:c r="J19"/>
    </x:row>
    <x:row r="20">
      <x:c r="A20" t="n">
        <x:v>46296</x:v>
      </x:c>
      <x:c r="B20" t="n">
        <x:f>SUMIFS('10行程明細'!$M$5:$M$60,'10行程明細'!$A$5:$A$60,A20)</x:f>
        <x:v>1800</x:v>
      </x:c>
      <x:c r="C20" t="n">
        <x:f>SUMIFS('10行程明細'!$N$5:$N$60,'10行程明細'!$A$5:$A$60,A20)</x:f>
        <x:v>4100</x:v>
      </x:c>
      <x:c r="D20" t="n">
        <x:f>SUMIFS('10行程明細'!$O$5:$O$60,'10行程明細'!$A$5:$A$60,A20)</x:f>
        <x:v>0</x:v>
      </x:c>
      <x:c r="E20" t="n">
        <x:f>C20*$B$5+D20</x:f>
        <x:v>3936</x:v>
      </x:c>
      <x:c r="F20" t="str">
        <x:v>不含機票、購物與未提供實際訂單價</x:v>
      </x:c>
      <x:c r="G20"/>
      <x:c r="H20"/>
      <x:c r="I20"/>
      <x:c r="J20"/>
    </x:row>
    <x:row r="21">
      <x:c r="A21" t="n">
        <x:v>46297</x:v>
      </x:c>
      <x:c r="B21" t="n">
        <x:f>SUMIFS('10行程明細'!$M$5:$M$60,'10行程明細'!$A$5:$A$60,A21)</x:f>
        <x:v>1600</x:v>
      </x:c>
      <x:c r="C21" t="n">
        <x:f>SUMIFS('10行程明細'!$N$5:$N$60,'10行程明細'!$A$5:$A$60,A21)</x:f>
        <x:v>3900</x:v>
      </x:c>
      <x:c r="D21" t="n">
        <x:f>SUMIFS('10行程明細'!$O$5:$O$60,'10行程明細'!$A$5:$A$60,A21)</x:f>
        <x:v>0</x:v>
      </x:c>
      <x:c r="E21" t="n">
        <x:f>C21*$B$5+D21</x:f>
        <x:v>3744</x:v>
      </x:c>
      <x:c r="F21" t="str">
        <x:v>不含機票、購物與未提供實際訂單價</x:v>
      </x:c>
      <x:c r="G21"/>
      <x:c r="H21"/>
      <x:c r="I21"/>
      <x:c r="J21"/>
    </x:row>
    <x:row r="22">
      <x:c r="A22" t="n">
        <x:v>46298</x:v>
      </x:c>
      <x:c r="B22" t="n">
        <x:f>SUMIFS('10行程明細'!$M$5:$M$60,'10行程明細'!$A$5:$A$60,A22)</x:f>
        <x:v>850</x:v>
      </x:c>
      <x:c r="C22" t="n">
        <x:f>SUMIFS('10行程明細'!$N$5:$N$60,'10行程明細'!$A$5:$A$60,A22)</x:f>
        <x:v>1650</x:v>
      </x:c>
      <x:c r="D22" t="n">
        <x:f>SUMIFS('10行程明細'!$O$5:$O$60,'10行程明細'!$A$5:$A$60,A22)</x:f>
        <x:v>0</x:v>
      </x:c>
      <x:c r="E22" t="n">
        <x:f>C22*$B$5+D22</x:f>
        <x:v>1584</x:v>
      </x:c>
      <x:c r="F22" t="str">
        <x:v>不含機票、購物與未提供實際訂單價</x:v>
      </x:c>
      <x:c r="G22"/>
      <x:c r="H22"/>
      <x:c r="I22"/>
      <x:c r="J22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02c0d89f9a3c4b6f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t="str">
        <x:v>訂單、付款、取消與憑證</x:v>
      </x:c>
      <x:c r="B1"/>
      <x:c r="C1"/>
      <x:c r="D1"/>
      <x:c r="E1"/>
      <x:c r="F1"/>
      <x:c r="G1"/>
      <x:c r="H1"/>
      <x:c r="I1"/>
      <x:c r="J1"/>
      <x:c r="K1"/>
    </x:row>
    <x:row r="2">
      <x:c r="A2" t="str">
        <x:v>把實際付款補在這裡，預算才會從『估算』變成『真實』。</x:v>
      </x:c>
      <x:c r="B2"/>
      <x:c r="C2"/>
      <x:c r="D2"/>
      <x:c r="E2"/>
      <x:c r="F2"/>
      <x:c r="G2"/>
      <x:c r="H2"/>
      <x:c r="I2"/>
      <x:c r="J2"/>
      <x:c r="K2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>
      <x:c r="A4" t="str">
        <x:v>日期</x:v>
      </x:c>
      <x:c r="B4" t="str">
        <x:v>項目</x:v>
      </x:c>
      <x:c r="C4" t="str">
        <x:v>供應商</x:v>
      </x:c>
      <x:c r="D4" t="str">
        <x:v>方案/房型</x:v>
      </x:c>
      <x:c r="E4" t="str">
        <x:v>2人實付TWD</x:v>
      </x:c>
      <x:c r="F4" t="str">
        <x:v>2人實付THB</x:v>
      </x:c>
      <x:c r="G4" t="str">
        <x:v>是否已付</x:v>
      </x:c>
      <x:c r="H4" t="str">
        <x:v>取消規則</x:v>
      </x:c>
      <x:c r="I4" t="str">
        <x:v>憑證位置</x:v>
      </x:c>
      <x:c r="J4" t="str">
        <x:v>狀態</x:v>
      </x:c>
      <x:c r="K4" t="str">
        <x:v>備註</x:v>
      </x:c>
    </x:row>
    <x:row r="5">
      <x:c r="A5" t="n">
        <x:v>46288</x:v>
      </x:c>
      <x:c r="B5" t="str">
        <x:v>BR257 TPE→CNX</x:v>
      </x:c>
      <x:c r="C5" t="str">
        <x:v>EVA</x:v>
      </x:c>
      <x:c r="D5" t="str">
        <x:v>航班</x:v>
      </x:c>
      <x:c r="E5"/>
      <x:c r="F5"/>
      <x:c r="G5" t="str">
        <x:v>待填</x:v>
      </x:c>
      <x:c r="H5" t="str">
        <x:v>依票規</x:v>
      </x:c>
      <x:c r="I5" t="str">
        <x:v>手機/Email</x:v>
      </x:c>
      <x:c r="J5" t="str">
        <x:v>待完成</x:v>
      </x:c>
      <x:c r="K5" t="str">
        <x:v>補機票總額</x:v>
      </x:c>
    </x:row>
    <x:row r="6">
      <x:c r="A6" t="n">
        <x:v>46288</x:v>
      </x:c>
      <x:c r="B6" t="str">
        <x:v>Chai Lai Orchid</x:v>
      </x:c>
      <x:c r="C6" t="str">
        <x:v>Chai Lai</x:v>
      </x:c>
      <x:c r="D6" t="str">
        <x:v>1晚</x:v>
      </x:c>
      <x:c r="E6" t="n">
        <x:v>1739</x:v>
      </x:c>
      <x:c r="F6"/>
      <x:c r="G6" t="str">
        <x:v>待確認</x:v>
      </x:c>
      <x:c r="H6" t="str">
        <x:v>依訂單</x:v>
      </x:c>
      <x:c r="I6" t="str">
        <x:v>訂房App</x:v>
      </x:c>
      <x:c r="J6" t="str">
        <x:v>已確認</x:v>
      </x:c>
      <x:c r="K6" t="str">
        <x:v>原始資料價格</x:v>
      </x:c>
    </x:row>
    <x:row r="7">
      <x:c r="A7" t="n">
        <x:v>46289</x:v>
      </x:c>
      <x:c r="B7" t="str">
        <x:v>Kerchor Elephant Eco Park</x:v>
      </x:c>
      <x:c r="C7" t="str">
        <x:v>KKday</x:v>
      </x:c>
      <x:c r="D7" t="str">
        <x:v>一日遊</x:v>
      </x:c>
      <x:c r="E7"/>
      <x:c r="F7"/>
      <x:c r="G7" t="str">
        <x:v>待填</x:v>
      </x:c>
      <x:c r="H7" t="str">
        <x:v>依所購方案</x:v>
      </x:c>
      <x:c r="I7" t="str">
        <x:v>KKday App</x:v>
      </x:c>
      <x:c r="J7" t="str">
        <x:v>待完成</x:v>
      </x:c>
      <x:c r="K7" t="str">
        <x:v>商品起價≠實付</x:v>
      </x:c>
    </x:row>
    <x:row r="8">
      <x:c r="A8" t="n">
        <x:v>46289</x:v>
      </x:c>
      <x:c r="B8" t="str">
        <x:v>Himku Hotel</x:v>
      </x:c>
      <x:c r="C8" t="str">
        <x:v>Himku</x:v>
      </x:c>
      <x:c r="D8" t="str">
        <x:v>9/24–10/3</x:v>
      </x:c>
      <x:c r="E8" t="n">
        <x:v>16340</x:v>
      </x:c>
      <x:c r="F8"/>
      <x:c r="G8" t="str">
        <x:v>待確認</x:v>
      </x:c>
      <x:c r="H8" t="str">
        <x:v>依訂單</x:v>
      </x:c>
      <x:c r="I8" t="str">
        <x:v>訂房App</x:v>
      </x:c>
      <x:c r="J8" t="str">
        <x:v>已確認</x:v>
      </x:c>
      <x:c r="K8" t="str">
        <x:v>另確認提前代收</x:v>
      </x:c>
    </x:row>
    <x:row r="9">
      <x:c r="A9" t="n">
        <x:v>46290</x:v>
      </x:c>
      <x:c r="B9" t="str">
        <x:v>Skyline Extreme</x:v>
      </x:c>
      <x:c r="C9" t="str">
        <x:v>Skyline/平台</x:v>
      </x:c>
      <x:c r="D9" t="str">
        <x:v>Extreme</x:v>
      </x:c>
      <x:c r="E9"/>
      <x:c r="F9" t="n">
        <x:v>4900</x:v>
      </x:c>
      <x:c r="G9" t="str">
        <x:v>待填</x:v>
      </x:c>
      <x:c r="H9" t="str">
        <x:v>依訂單</x:v>
      </x:c>
      <x:c r="I9" t="str">
        <x:v>App/Email</x:v>
      </x:c>
      <x:c r="J9" t="str">
        <x:v>待完成</x:v>
      </x:c>
      <x:c r="K9" t="str">
        <x:v>官方參考2,450THB/人</x:v>
      </x:c>
    </x:row>
    <x:row r="10">
      <x:c r="A10" t="n">
        <x:v>46293</x:v>
      </x:c>
      <x:c r="B10" t="str">
        <x:v>Fah Lanna</x:v>
      </x:c>
      <x:c r="C10" t="str">
        <x:v>Fah Lanna</x:v>
      </x:c>
      <x:c r="D10" t="str">
        <x:v>療程待填</x:v>
      </x:c>
      <x:c r="E10"/>
      <x:c r="F10"/>
      <x:c r="G10" t="str">
        <x:v>待填</x:v>
      </x:c>
      <x:c r="H10" t="str">
        <x:v>依預約</x:v>
      </x:c>
      <x:c r="I10" t="str">
        <x:v>Email/App</x:v>
      </x:c>
      <x:c r="J10" t="str">
        <x:v>待完成</x:v>
      </x:c>
      <x:c r="K10" t="str">
        <x:v>補療程與價格</x:v>
      </x:c>
    </x:row>
    <x:row r="11">
      <x:c r="A11" t="n">
        <x:v>46295</x:v>
      </x:c>
      <x:c r="B11" t="str">
        <x:v>B Samcook Home16</x:v>
      </x:c>
      <x:c r="C11" t="str">
        <x:v>餐廳</x:v>
      </x:c>
      <x:c r="D11" t="str">
        <x:v>11:30</x:v>
      </x:c>
      <x:c r="E11"/>
      <x:c r="F11"/>
      <x:c r="G11" t="str">
        <x:v>待填</x:v>
      </x:c>
      <x:c r="H11" t="str">
        <x:v>依訂位</x:v>
      </x:c>
      <x:c r="I11" t="str">
        <x:v>訂位截圖</x:v>
      </x:c>
      <x:c r="J11" t="str">
        <x:v>已確認</x:v>
      </x:c>
      <x:c r="K11" t="str">
        <x:v>價格待補</x:v>
      </x:c>
    </x:row>
    <x:row r="12">
      <x:c r="A12" t="n">
        <x:v>46298</x:v>
      </x:c>
      <x:c r="B12" t="str">
        <x:v>JX752 CNX→TPE</x:v>
      </x:c>
      <x:c r="C12" t="str">
        <x:v>STARLUX</x:v>
      </x:c>
      <x:c r="D12" t="str">
        <x:v>航班</x:v>
      </x:c>
      <x:c r="E12"/>
      <x:c r="F12"/>
      <x:c r="G12" t="str">
        <x:v>待填</x:v>
      </x:c>
      <x:c r="H12" t="str">
        <x:v>依票規</x:v>
      </x:c>
      <x:c r="I12" t="str">
        <x:v>手機/Email</x:v>
      </x:c>
      <x:c r="J12" t="str">
        <x:v>待完成</x:v>
      </x:c>
      <x:c r="K12" t="str">
        <x:v>補機票總額</x:v>
      </x:c>
    </x:row>
    <x:row r="13">
      <x:c r="A13"/>
      <x:c r="B13" t="str">
        <x:v>AIS eSIM×2</x:v>
      </x:c>
      <x:c r="C13" t="str">
        <x:v>KKday</x:v>
      </x:c>
      <x:c r="D13" t="str">
        <x:v>產品156018</x:v>
      </x:c>
      <x:c r="E13"/>
      <x:c r="F13"/>
      <x:c r="G13" t="str">
        <x:v>待填</x:v>
      </x:c>
      <x:c r="H13" t="str">
        <x:v>QR發出後退款限制依商品頁</x:v>
      </x:c>
      <x:c r="I13" t="str">
        <x:v>KKday App</x:v>
      </x:c>
      <x:c r="J13" t="str">
        <x:v>待完成</x:v>
      </x:c>
      <x:c r="K13" t="str">
        <x:v>最後一天需備援</x:v>
      </x:c>
    </x:row>
    <x:row r="14">
      <x:c r="A14"/>
      <x:c r="B14" t="str">
        <x:v>旅遊保險 ×2</x:v>
      </x:c>
      <x:c r="C14" t="str">
        <x:v>待選（台灣產險公司）</x:v>
      </x:c>
      <x:c r="D14" t="str">
        <x:v>實際保期9/23出門～10/3返家</x:v>
      </x:c>
      <x:c r="E14"/>
      <x:c r="F14"/>
      <x:c r="G14" t="str">
        <x:v>待填</x:v>
      </x:c>
      <x:c r="H14" t="str">
        <x:v>依保單條款</x:v>
      </x:c>
      <x:c r="I14" t="str">
        <x:v>保單PDF＋急難電話</x:v>
      </x:c>
      <x:c r="J14" t="str">
        <x:v>待完成</x:v>
      </x:c>
      <x:c r="K14" t="str">
        <x:v>先看05保險公司比較；投保後填實際總保費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sheetData>
    <x:row r="1">
      <x:c r="A1" t="str">
        <x:v>交通、叫車、換錢與現金策略</x:v>
      </x:c>
      <x:c r="B1"/>
      <x:c r="C1"/>
      <x:c r="D1"/>
      <x:c r="E1"/>
      <x:c r="F1"/>
      <x:c r="G1"/>
      <x:c r="H1"/>
      <x:c r="I1"/>
    </x:row>
    <x:row r="2">
      <x:c r="A2" t="str">
        <x:v>交通費以2人/1車抓預算；Grab/Bolt/雙條車是動態價，現場為準。</x:v>
      </x:c>
      <x:c r="B2"/>
      <x:c r="C2"/>
      <x:c r="D2"/>
      <x:c r="E2"/>
      <x:c r="F2"/>
      <x:c r="G2"/>
      <x:c r="H2"/>
      <x:c r="I2"/>
    </x:row>
    <x:row r="3">
      <x:c r="A3"/>
      <x:c r="B3"/>
      <x:c r="C3"/>
      <x:c r="D3"/>
      <x:c r="E3"/>
      <x:c r="F3"/>
      <x:c r="G3"/>
      <x:c r="H3"/>
      <x:c r="I3"/>
    </x:row>
    <x:row r="4">
      <x:c r="A4" t="str">
        <x:v>日期/場景</x:v>
      </x:c>
      <x:c r="B4" t="str">
        <x:v>建議方式</x:v>
      </x:c>
      <x:c r="C4" t="str">
        <x:v>低THB</x:v>
      </x:c>
      <x:c r="D4" t="str">
        <x:v>高THB</x:v>
      </x:c>
      <x:c r="E4" t="str">
        <x:v>價格性質</x:v>
      </x:c>
      <x:c r="F4" t="str">
        <x:v>怎麼做</x:v>
      </x:c>
      <x:c r="G4" t="str">
        <x:v>注意事項</x:v>
      </x:c>
      <x:c r="H4" t="str">
        <x:v>備案</x:v>
      </x:c>
      <x:c r="I4" t="str">
        <x:v>來源</x:v>
      </x:c>
    </x:row>
    <x:row r="5">
      <x:c r="A5" t="str">
        <x:v>9/23 CNX行李寄送</x:v>
      </x:c>
      <x:c r="B5" t="str">
        <x:v>AIRPORTELs</x:v>
      </x:c>
      <x:c r="C5" t="n">
        <x:v>698</x:v>
      </x:c>
      <x:c r="D5" t="n">
        <x:v>698</x:v>
      </x:c>
      <x:c r="E5" t="str">
        <x:v>起價</x:v>
      </x:c>
      <x:c r="F5" t="str">
        <x:v>抵達後先寄2件到Himku</x:v>
      </x:c>
      <x:c r="G5" t="str">
        <x:v>先確認代收</x:v>
      </x:c>
      <x:c r="H5" t="str">
        <x:v>寄放/私人車</x:v>
      </x:c>
      <x:c r="I5" t="str">
        <x:v>https://www.airportels.asia/branch/luggage-service-chiang-mai-airport/</x:v>
      </x:c>
    </x:row>
    <x:row r="6">
      <x:c r="A6" t="str">
        <x:v>9/23 CNX→Chai Lai</x:v>
      </x:c>
      <x:c r="B6" t="str">
        <x:v>Chai Lai接駁</x:v>
      </x:c>
      <x:c r="C6" t="n">
        <x:v>800</x:v>
      </x:c>
      <x:c r="D6" t="n">
        <x:v>1200</x:v>
      </x:c>
      <x:c r="E6" t="str">
        <x:v>依訂單</x:v>
      </x:c>
      <x:c r="F6" t="str">
        <x:v>按指定集合上車</x:v>
      </x:c>
      <x:c r="G6" t="str">
        <x:v>接駁優先於Central</x:v>
      </x:c>
      <x:c r="H6" t="str">
        <x:v>聯絡飯店改車</x:v>
      </x:c>
      <x:c r="I6" t="str">
        <x:v>https://chailaiorchid.com/location/</x:v>
      </x:c>
    </x:row>
    <x:row r="7">
      <x:c r="A7" t="str">
        <x:v>9/24 Chai Lai→Kerchor</x:v>
      </x:c>
      <x:c r="B7" t="str">
        <x:v>飯店代叫雙條車</x:v>
      </x:c>
      <x:c r="C7" t="n">
        <x:v>300</x:v>
      </x:c>
      <x:c r="D7" t="n">
        <x:v>500</x:v>
      </x:c>
      <x:c r="E7" t="str">
        <x:v>估算</x:v>
      </x:c>
      <x:c r="F7" t="str">
        <x:v>前一晚給定位＋集合時間</x:v>
      </x:c>
      <x:c r="G7" t="str">
        <x:v>留30–45分緩衝</x:v>
      </x:c>
      <x:c r="H7" t="str">
        <x:v>私人車/Grab若可叫</x:v>
      </x:c>
      <x:c r="I7" t="str">
        <x:v>規劃估算</x:v>
      </x:c>
    </x:row>
    <x:row r="8">
      <x:c r="A8" t="str">
        <x:v>9/24 Kerchor→Himku</x:v>
      </x:c>
      <x:c r="B8" t="str">
        <x:v>活動接駁</x:v>
      </x:c>
      <x:c r="C8" t="n">
        <x:v>0</x:v>
      </x:c>
      <x:c r="D8" t="n">
        <x:v>0</x:v>
      </x:c>
      <x:c r="E8" t="str">
        <x:v>依方案</x:v>
      </x:c>
      <x:c r="F8" t="str">
        <x:v>訂單留Himku英文地址</x:v>
      </x:c>
      <x:c r="G8" t="str">
        <x:v>確認回程落點</x:v>
      </x:c>
      <x:c r="H8" t="str">
        <x:v>指定點再Grab</x:v>
      </x:c>
      <x:c r="I8" t="str">
        <x:v>https://www.kkday.com/zh-tw/product/25082-kerchor-elephant-eco-park-half-day-tour-chiang-mai-thailand</x:v>
      </x:c>
    </x:row>
    <x:row r="9">
      <x:c r="A9" t="str">
        <x:v>市區短程</x:v>
      </x:c>
      <x:c r="B9" t="str">
        <x:v>Grab/Bolt/紅色雙條車</x:v>
      </x:c>
      <x:c r="C9" t="n">
        <x:v>80</x:v>
      </x:c>
      <x:c r="D9" t="n">
        <x:v>250</x:v>
      </x:c>
      <x:c r="E9" t="str">
        <x:v>動態</x:v>
      </x:c>
      <x:c r="F9" t="str">
        <x:v>先比App價</x:v>
      </x:c>
      <x:c r="G9" t="str">
        <x:v>雨天/尖峰漲價</x:v>
      </x:c>
      <x:c r="H9" t="str">
        <x:v>步行/另一App</x:v>
      </x:c>
      <x:c r="I9" t="str">
        <x:v>—</x:v>
      </x:c>
    </x:row>
    <x:row r="10">
      <x:c r="A10" t="str">
        <x:v>跨區→Nimman/Jing Jai</x:v>
      </x:c>
      <x:c r="B10" t="str">
        <x:v>Grab/Bolt</x:v>
      </x:c>
      <x:c r="C10" t="n">
        <x:v>120</x:v>
      </x:c>
      <x:c r="D10" t="n">
        <x:v>300</x:v>
      </x:c>
      <x:c r="E10" t="str">
        <x:v>動態</x:v>
      </x:c>
      <x:c r="F10" t="str">
        <x:v>避免反覆折返</x:v>
      </x:c>
      <x:c r="G10" t="str">
        <x:v>雨天叫車需求高</x:v>
      </x:c>
      <x:c r="H10" t="str">
        <x:v>雙條車</x:v>
      </x:c>
      <x:c r="I10" t="str">
        <x:v>—</x:v>
      </x:c>
    </x:row>
    <x:row r="11">
      <x:c r="A11" t="str">
        <x:v>10/3 Himku→CNX</x:v>
      </x:c>
      <x:c r="B11" t="str">
        <x:v>Grab/計程車</x:v>
      </x:c>
      <x:c r="C11" t="n">
        <x:v>150</x:v>
      </x:c>
      <x:c r="D11" t="n">
        <x:v>250</x:v>
      </x:c>
      <x:c r="E11" t="str">
        <x:v>動態</x:v>
      </x:c>
      <x:c r="F11" t="str">
        <x:v>14:00前後出發</x:v>
      </x:c>
      <x:c r="G11" t="str">
        <x:v>豪雨再提早</x:v>
      </x:c>
      <x:c r="H11" t="str">
        <x:v>飯店代叫</x:v>
      </x:c>
      <x:c r="I11" t="str">
        <x:v>—</x:v>
      </x:c>
    </x:row>
    <x:row r="12">
      <x:c r="A12"/>
      <x:c r="B12"/>
      <x:c r="C12"/>
      <x:c r="D12"/>
      <x:c r="E12"/>
      <x:c r="F12"/>
      <x:c r="G12"/>
      <x:c r="H12"/>
      <x:c r="I12"/>
    </x:row>
    <x:row r="13">
      <x:c r="A13"/>
      <x:c r="B13"/>
      <x:c r="C13"/>
      <x:c r="D13"/>
      <x:c r="E13"/>
      <x:c r="F13"/>
      <x:c r="G13"/>
      <x:c r="H13"/>
      <x:c r="I13"/>
    </x:row>
    <x:row r="14">
      <x:c r="A14" t="str">
        <x:v>換錢點</x:v>
      </x:c>
      <x:c r="B14" t="str">
        <x:v>區域</x:v>
      </x:c>
      <x:c r="C14" t="str">
        <x:v>營業參考</x:v>
      </x:c>
      <x:c r="D14" t="str">
        <x:v>星期注意</x:v>
      </x:c>
      <x:c r="E14" t="str">
        <x:v>優點</x:v>
      </x:c>
      <x:c r="F14" t="str">
        <x:v>策略</x:v>
      </x:c>
      <x:c r="G14" t="str">
        <x:v>備註</x:v>
      </x:c>
      <x:c r="H14"/>
      <x:c r="I14"/>
    </x:row>
    <x:row r="15">
      <x:c r="A15" t="str">
        <x:v>Mr Pierre</x:v>
      </x:c>
      <x:c r="B15" t="str">
        <x:v>Tha Phae</x:v>
      </x:c>
      <x:c r="C15" t="str">
        <x:v>09:00–18:00</x:v>
      </x:c>
      <x:c r="D15" t="str">
        <x:v>週日休</x:v>
      </x:c>
      <x:c r="E15" t="str">
        <x:v>古城方便</x:v>
      </x:c>
      <x:c r="F15" t="str">
        <x:v>需要再換時比價</x:v>
      </x:c>
      <x:c r="G15" t="str">
        <x:v>原始資料；出發前重查</x:v>
      </x:c>
      <x:c r="H15"/>
      <x:c r="I15"/>
    </x:row>
    <x:row r="16">
      <x:c r="A16" t="str">
        <x:v>VK Money Exchange Old City</x:v>
      </x:c>
      <x:c r="B16" t="str">
        <x:v>Old City</x:v>
      </x:c>
      <x:c r="C16" t="str">
        <x:v>09:00–18:00</x:v>
      </x:c>
      <x:c r="D16" t="str">
        <x:v>—</x:v>
      </x:c>
      <x:c r="E16" t="str">
        <x:v>市區方便</x:v>
      </x:c>
      <x:c r="F16" t="str">
        <x:v>少量補換</x:v>
      </x:c>
      <x:c r="G16" t="str">
        <x:v>原始資料；重查</x:v>
      </x:c>
      <x:c r="H16"/>
      <x:c r="I16"/>
    </x:row>
    <x:row r="17">
      <x:c r="A17" t="str">
        <x:v>Nakhonping Exchange</x:v>
      </x:c>
      <x:c r="B17" t="str">
        <x:v>Night Bazaar</x:v>
      </x:c>
      <x:c r="C17" t="str">
        <x:v>09:00–22:00</x:v>
      </x:c>
      <x:c r="D17" t="str">
        <x:v>—</x:v>
      </x:c>
      <x:c r="E17" t="str">
        <x:v>營業晚</x:v>
      </x:c>
      <x:c r="F17" t="str">
        <x:v>夜市附近備用</x:v>
      </x:c>
      <x:c r="G17" t="str">
        <x:v>原始資料；重查</x:v>
      </x:c>
      <x:c r="H17"/>
      <x:c r="I17"/>
    </x:row>
    <x:row r="18">
      <x:c r="A18" t="str">
        <x:v>VK Chang Klan</x:v>
      </x:c>
      <x:c r="B18" t="str">
        <x:v>Chang Klan</x:v>
      </x:c>
      <x:c r="C18" t="str">
        <x:v>10:00–19:30</x:v>
      </x:c>
      <x:c r="D18" t="str">
        <x:v>週日休</x:v>
      </x:c>
      <x:c r="E18" t="str">
        <x:v>夜市區</x:v>
      </x:c>
      <x:c r="F18" t="str">
        <x:v>晚間補換</x:v>
      </x:c>
      <x:c r="G18" t="str">
        <x:v>原始資料；重查</x:v>
      </x:c>
      <x:c r="H18"/>
      <x:c r="I18"/>
    </x:row>
    <x:row r="19">
      <x:c r="A19" t="str">
        <x:v>SK Exchange</x:v>
      </x:c>
      <x:c r="B19" t="str">
        <x:v>市區</x:v>
      </x:c>
      <x:c r="C19" t="str">
        <x:v>09:00–17:00</x:v>
      </x:c>
      <x:c r="D19" t="str">
        <x:v>週日休</x:v>
      </x:c>
      <x:c r="E19" t="str">
        <x:v>—</x:v>
      </x:c>
      <x:c r="F19" t="str">
        <x:v>平日比價</x:v>
      </x:c>
      <x:c r="G19" t="str">
        <x:v>原始資料；重查</x:v>
      </x:c>
      <x:c r="H19"/>
      <x:c r="I19"/>
    </x:row>
    <x:row r="20">
      <x:c r="A20" t="str">
        <x:v>Super Money Chiangmai</x:v>
      </x:c>
      <x:c r="B20" t="str">
        <x:v>飯店附近</x:v>
      </x:c>
      <x:c r="C20" t="str">
        <x:v>08:30–17:30</x:v>
      </x:c>
      <x:c r="D20" t="str">
        <x:v>週末休</x:v>
      </x:c>
      <x:c r="E20" t="str">
        <x:v>靠住宿</x:v>
      </x:c>
      <x:c r="F20" t="str">
        <x:v>平日方便</x:v>
      </x:c>
      <x:c r="G20" t="str">
        <x:v>原始資料；重查</x:v>
      </x:c>
      <x:c r="H20"/>
      <x:c r="I20"/>
    </x:row>
    <x:row r="21">
      <x:c r="A21"/>
      <x:c r="B21"/>
      <x:c r="C21"/>
      <x:c r="D21"/>
      <x:c r="E21"/>
      <x:c r="F21"/>
      <x:c r="G21"/>
      <x:c r="H21"/>
      <x:c r="I21"/>
    </x:row>
    <x:row r="22">
      <x:c r="A22"/>
      <x:c r="B22"/>
      <x:c r="C22"/>
      <x:c r="D22"/>
      <x:c r="E22"/>
      <x:c r="F22"/>
      <x:c r="G22"/>
      <x:c r="H22"/>
      <x:c r="I22"/>
    </x:row>
    <x:row r="23">
      <x:c r="A23" t="str">
        <x:v>現金策略</x:v>
      </x:c>
      <x:c r="B23" t="str">
        <x:v>建議</x:v>
      </x:c>
      <x:c r="C23" t="str">
        <x:v>原因</x:v>
      </x:c>
      <x:c r="D23" t="str">
        <x:v>金額概念</x:v>
      </x:c>
      <x:c r="E23" t="str">
        <x:v>不要做</x:v>
      </x:c>
      <x:c r="F23" t="str">
        <x:v>備註</x:v>
      </x:c>
      <x:c r="G23"/>
      <x:c r="H23"/>
      <x:c r="I23"/>
    </x:row>
    <x:row r="24">
      <x:c r="A24" t="str">
        <x:v>入境財力</x:v>
      </x:c>
      <x:c r="B24" t="str">
        <x:v>另備40,000THB/家庭等值可立即出示</x:v>
      </x:c>
      <x:c r="C24" t="str">
        <x:v>入境佐證</x:v>
      </x:c>
      <x:c r="D24" t="str">
        <x:v>非支出</x:v>
      </x:c>
      <x:c r="E24" t="str">
        <x:v>不要全放日常錢包</x:v>
      </x:c>
      <x:c r="F24" t="str">
        <x:v>與預算分開</x:v>
      </x:c>
      <x:c r="G24"/>
      <x:c r="H24"/>
      <x:c r="I24"/>
    </x:row>
    <x:row r="25">
      <x:c r="A25" t="str">
        <x:v>日常錢包</x:v>
      </x:c>
      <x:c r="B25" t="str">
        <x:v>每天約2,000–4,000THB/2人再調整</x:v>
      </x:c>
      <x:c r="C25" t="str">
        <x:v>市場/雙條車/小店</x:v>
      </x:c>
      <x:c r="D25" t="str">
        <x:v>每日</x:v>
      </x:c>
      <x:c r="E25" t="str">
        <x:v>不要把全部現金帶出門</x:v>
      </x:c>
      <x:c r="F25" t="str">
        <x:v>其餘安全保管</x:v>
      </x:c>
      <x:c r="G25"/>
      <x:c r="H25"/>
      <x:c r="I25"/>
    </x:row>
    <x:row r="26">
      <x:c r="A26" t="str">
        <x:v>卡片</x:v>
      </x:c>
      <x:c r="B26" t="str">
        <x:v>至少2張不同卡組織，分開保管</x:v>
      </x:c>
      <x:c r="C26" t="str">
        <x:v>支付備援</x:v>
      </x:c>
      <x:c r="D26" t="str">
        <x:v>—</x:v>
      </x:c>
      <x:c r="E26" t="str">
        <x:v>不要放同一錢包</x:v>
      </x:c>
      <x:c r="F26" t="str">
        <x:v>開海外通知</x:v>
      </x:c>
      <x:c r="G26"/>
      <x:c r="H26"/>
      <x:c r="I26"/>
    </x:row>
    <x:row r="27">
      <x:c r="A27" t="str">
        <x:v>換匯</x:v>
      </x:c>
      <x:c r="B27" t="str">
        <x:v>不必一次把所有TWD換完</x:v>
      </x:c>
      <x:c r="C27" t="str">
        <x:v>多換錢點可補</x:v>
      </x:c>
      <x:c r="D27" t="str">
        <x:v>依需求</x:v>
      </x:c>
      <x:c r="E27" t="str">
        <x:v>不用非正式管道</x:v>
      </x:c>
      <x:c r="F27" t="str">
        <x:v>店家可能需護照</x:v>
      </x:c>
      <x:c r="G27"/>
      <x:c r="H27"/>
      <x:c r="I27"/>
    </x:row>
  </x:sheetData>
  <x:mergeCells>
    <x:mergeCell ref="A1:I1"/>
    <x:mergeCell ref="A2:I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sheetData>
    <x:row r="1">
      <x:c r="A1" t="str">
        <x:v>健康、安全、雨季與緊急聯絡</x:v>
      </x:c>
      <x:c r="B1"/>
      <x:c r="C1"/>
      <x:c r="D1"/>
      <x:c r="E1"/>
      <x:c r="F1"/>
      <x:c r="G1"/>
      <x:c r="H1"/>
    </x:row>
    <x:row r="2">
      <x:c r="A2" t="str">
        <x:v>9月北部仍是高降雨期；防蚊、濕滑與雷雨比單純『怕下雨』更重要。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主題</x:v>
      </x:c>
      <x:c r="B4" t="str">
        <x:v>風險/現況</x:v>
      </x:c>
      <x:c r="C4" t="str">
        <x:v>預防</x:v>
      </x:c>
      <x:c r="D4" t="str">
        <x:v>發生時怎麼做</x:v>
      </x:c>
      <x:c r="E4" t="str">
        <x:v>優先</x:v>
      </x:c>
      <x:c r="F4" t="str">
        <x:v>電話/資源</x:v>
      </x:c>
      <x:c r="G4" t="str">
        <x:v>來源</x:v>
      </x:c>
      <x:c r="H4" t="str">
        <x:v>備註</x:v>
      </x:c>
    </x:row>
    <x:row r="5">
      <x:c r="A5" t="str">
        <x:v>雨季</x:v>
      </x:c>
      <x:c r="B5" t="str">
        <x:v>北部9月月預報17–19雨日、160–200mm、RH80–85%</x:v>
      </x:c>
      <x:c r="C5" t="str">
        <x:v>雨衣、防滑鞋、手機防水袋</x:v>
      </x:c>
      <x:c r="D5" t="str">
        <x:v>雷雨停高空/開闊區活動，聽業者</x:v>
      </x:c>
      <x:c r="E5" t="str">
        <x:v>高</x:v>
      </x:c>
      <x:c r="F5" t="str">
        <x:v>—</x:v>
      </x:c>
      <x:c r="G5" t="str">
        <x:v>https://tmd.go.th/forecast/monthly/092026</x:v>
      </x:c>
      <x:c r="H5" t="str">
        <x:v>9/20起改看短期</x:v>
      </x:c>
    </x:row>
    <x:row r="6">
      <x:c r="A6" t="str">
        <x:v>登革熱/蚊蟲</x:v>
      </x:c>
      <x:c r="B6" t="str">
        <x:v>泰國有蚊媒疾病風險</x:v>
      </x:c>
      <x:c r="C6" t="str">
        <x:v>白天也防蚊、長褲</x:v>
      </x:c>
      <x:c r="D6" t="str">
        <x:v>發燒/頭痛/肌肉痛就醫並說旅遊史</x:v>
      </x:c>
      <x:c r="E6" t="str">
        <x:v>高</x:v>
      </x:c>
      <x:c r="F6" t="str">
        <x:v>1669</x:v>
      </x:c>
      <x:c r="G6" t="str">
        <x:v>https://www.cdc.gov.tw/InternationalTravel/</x:v>
      </x:c>
      <x:c r="H6" t="str">
        <x:v>大象接觸前遵場方規則</x:v>
      </x:c>
    </x:row>
    <x:row r="7">
      <x:c r="A7" t="str">
        <x:v>狂犬病</x:v>
      </x:c>
      <x:c r="B7" t="str">
        <x:v>犬貓/猴抓咬</x:v>
      </x:c>
      <x:c r="C7" t="str">
        <x:v>不摸、不餵</x:v>
      </x:c>
      <x:c r="D7" t="str">
        <x:v>立即大量肥皂清洗＋就醫</x:v>
      </x:c>
      <x:c r="E7" t="str">
        <x:v>高</x:v>
      </x:c>
      <x:c r="F7" t="str">
        <x:v>1669</x:v>
      </x:c>
      <x:c r="G7" t="str">
        <x:v>https://www.cdc.gov.tw/InternationalTravel/</x:v>
      </x:c>
      <x:c r="H7" t="str">
        <x:v>不要等幾天</x:v>
      </x:c>
    </x:row>
    <x:row r="8">
      <x:c r="A8" t="str">
        <x:v>腸胃</x:v>
      </x:c>
      <x:c r="B8" t="str">
        <x:v>夜市/街食保存與飲水</x:v>
      </x:c>
      <x:c r="C8" t="str">
        <x:v>選人流正常店、補水</x:v>
      </x:c>
      <x:c r="D8" t="str">
        <x:v>嚴重腹瀉/血便/高燒就醫</x:v>
      </x:c>
      <x:c r="E8" t="str">
        <x:v>中</x:v>
      </x:c>
      <x:c r="F8" t="str">
        <x:v>1669</x:v>
      </x:c>
      <x:c r="G8" t="str">
        <x:v>—</x:v>
      </x:c>
      <x:c r="H8" t="str">
        <x:v>帶個人常用藥</x:v>
      </x:c>
    </x:row>
    <x:row r="9">
      <x:c r="A9" t="str">
        <x:v>戶外活動</x:v>
      </x:c>
      <x:c r="B9" t="str">
        <x:v>Kerchor/Skyline濕滑耗體力</x:v>
      </x:c>
      <x:c r="C9" t="str">
        <x:v>包鞋/水鞋、補水、替換衣</x:v>
      </x:c>
      <x:c r="D9" t="str">
        <x:v>受傷就停止；不做深層按摩</x:v>
      </x:c>
      <x:c r="E9" t="str">
        <x:v>高</x:v>
      </x:c>
      <x:c r="F9" t="str">
        <x:v>業者</x:v>
      </x:c>
      <x:c r="G9" t="str">
        <x:v>業者官方</x:v>
      </x:c>
      <x:c r="H9" t="str">
        <x:v>不為了不浪費錢硬做</x:v>
      </x:c>
    </x:row>
    <x:row r="10">
      <x:c r="A10" t="str">
        <x:v>觀光警察</x:v>
      </x:c>
      <x:c r="B10" t="str">
        <x:v>詐騙/糾紛/旅客協助</x:v>
      </x:c>
      <x:c r="C10" t="str">
        <x:v>留車牌店名付款證據</x:v>
      </x:c>
      <x:c r="D10" t="str">
        <x:v>先確保安全再聯絡</x:v>
      </x:c>
      <x:c r="E10" t="str">
        <x:v>高</x:v>
      </x:c>
      <x:c r="F10" t="str">
        <x:v>1155</x:v>
      </x:c>
      <x:c r="G10" t="str">
        <x:v>https://www.touristpolice.go.th/en/main</x:v>
      </x:c>
      <x:c r="H10" t="str">
        <x:v>24h</x:v>
      </x:c>
    </x:row>
    <x:row r="11">
      <x:c r="A11" t="str">
        <x:v>一般警察</x:v>
      </x:c>
      <x:c r="B11" t="str">
        <x:v>治安緊急</x:v>
      </x:c>
      <x:c r="C11" t="str">
        <x:v>—</x:v>
      </x:c>
      <x:c r="D11" t="str">
        <x:v>離開危險區</x:v>
      </x:c>
      <x:c r="E11" t="str">
        <x:v>高</x:v>
      </x:c>
      <x:c r="F11" t="str">
        <x:v>191</x:v>
      </x:c>
      <x:c r="G11" t="str">
        <x:v>https://www.touristpolice.go.th/en/main</x:v>
      </x:c>
      <x:c r="H11" t="str">
        <x:v>—</x:v>
      </x:c>
    </x:row>
    <x:row r="12">
      <x:c r="A12" t="str">
        <x:v>醫療救護</x:v>
      </x:c>
      <x:c r="B12" t="str">
        <x:v>急症/事故</x:v>
      </x:c>
      <x:c r="C12" t="str">
        <x:v>保險資料隨身</x:v>
      </x:c>
      <x:c r="D12" t="str">
        <x:v>告知地點症狀人數</x:v>
      </x:c>
      <x:c r="E12" t="str">
        <x:v>高</x:v>
      </x:c>
      <x:c r="F12" t="str">
        <x:v>1669</x:v>
      </x:c>
      <x:c r="G12" t="str">
        <x:v>https://www.touristpolice.go.th/en/main</x:v>
      </x:c>
      <x:c r="H12" t="str">
        <x:v>—</x:v>
      </x:c>
    </x:row>
    <x:row r="13">
      <x:c r="A13" t="str">
        <x:v>火災/救援</x:v>
      </x:c>
      <x:c r="B13" t="str">
        <x:v>火災/受困</x:v>
      </x:c>
      <x:c r="C13" t="str">
        <x:v>先撤離</x:v>
      </x:c>
      <x:c r="D13" t="str">
        <x:v>—</x:v>
      </x:c>
      <x:c r="E13" t="str">
        <x:v>高</x:v>
      </x:c>
      <x:c r="F13" t="str">
        <x:v>199</x:v>
      </x:c>
      <x:c r="G13" t="str">
        <x:v>https://www.touristpolice.go.th/en/main</x:v>
      </x:c>
      <x:c r="H13" t="str">
        <x:v>—</x:v>
      </x:c>
    </x:row>
    <x:row r="14">
      <x:c r="A14" t="str">
        <x:v>移民事務</x:v>
      </x:c>
      <x:c r="B14" t="str">
        <x:v>入出境問題</x:v>
      </x:c>
      <x:c r="C14" t="str">
        <x:v>護照/案件資料</x:v>
      </x:c>
      <x:c r="D14" t="str">
        <x:v>—</x:v>
      </x:c>
      <x:c r="E14" t="str">
        <x:v>中</x:v>
      </x:c>
      <x:c r="F14" t="str">
        <x:v>1178</x:v>
      </x:c>
      <x:c r="G14" t="str">
        <x:v>https://www.touristpolice.go.th/en/main</x:v>
      </x:c>
      <x:c r="H14" t="str">
        <x:v>—</x:v>
      </x:c>
    </x:row>
    <x:row r="15">
      <x:c r="A15" t="str">
        <x:v>TAT旅遊資訊</x:v>
      </x:c>
      <x:c r="B15" t="str">
        <x:v>一般旅遊資訊</x:v>
      </x:c>
      <x:c r="C15" t="str">
        <x:v>—</x:v>
      </x:c>
      <x:c r="D15" t="str">
        <x:v>非緊急使用</x:v>
      </x:c>
      <x:c r="E15" t="str">
        <x:v>低</x:v>
      </x:c>
      <x:c r="F15" t="str">
        <x:v>1672</x:v>
      </x:c>
      <x:c r="G15" t="str">
        <x:v>https://www.touristpolice.go.th/en/main</x:v>
      </x:c>
      <x:c r="H15" t="str">
        <x:v>—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sheetData>
    <x:row r="1">
      <x:c r="A1" t="str">
        <x:v>旅遊生活實用資訊｜你不一定會想到，但現場很常用</x:v>
      </x:c>
      <x:c r="B1"/>
      <x:c r="C1"/>
      <x:c r="D1"/>
      <x:c r="E1"/>
      <x:c r="F1"/>
      <x:c r="G1"/>
      <x:c r="H1"/>
    </x:row>
    <x:row r="2">
      <x:c r="A2" t="str">
        <x:v>不屬於『行程』，但會直接影響每天的便利、安全與花費。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主題</x:v>
      </x:c>
      <x:c r="B4" t="str">
        <x:v>你們需要知道</x:v>
      </x:c>
      <x:c r="C4" t="str">
        <x:v>建議做法</x:v>
      </x:c>
      <x:c r="D4" t="str">
        <x:v>費用/數字</x:v>
      </x:c>
      <x:c r="E4" t="str">
        <x:v>風險</x:v>
      </x:c>
      <x:c r="F4" t="str">
        <x:v>來源</x:v>
      </x:c>
      <x:c r="G4" t="str">
        <x:v>最後查核</x:v>
      </x:c>
      <x:c r="H4" t="str">
        <x:v>補充</x:v>
      </x:c>
    </x:row>
    <x:row r="5">
      <x:c r="A5" t="str">
        <x:v>電壓/插座</x:v>
      </x:c>
      <x:c r="B5" t="str">
        <x:v>泰國220V、50Hz；常見扁平雙腳與圓腳插座</x:v>
      </x:c>
      <x:c r="C5" t="str">
        <x:v>帶1個萬用轉接頭；手機/筆電充電器先看100–240V</x:v>
      </x:c>
      <x:c r="D5" t="str">
        <x:v>轉接頭依自有設備</x:v>
      </x:c>
      <x:c r="E5" t="str">
        <x:v>中</x:v>
      </x:c>
      <x:c r="F5" t="str">
        <x:v>https://www.tourismthailand.org/Articles/plan-your-trip-electricity</x:v>
      </x:c>
      <x:c r="G5" t="str">
        <x:v>2026/09/13</x:v>
      </x:c>
      <x:c r="H5" t="str">
        <x:v>台灣多數手機充電器可支援100–240V，但仍看標示</x:v>
      </x:c>
    </x:row>
    <x:row r="6">
      <x:c r="A6" t="str">
        <x:v>飲水</x:v>
      </x:c>
      <x:c r="B6" t="str">
        <x:v>不要直接把自來水當飲用水</x:v>
      </x:c>
      <x:c r="C6" t="str">
        <x:v>瓶裝水/飯店供水；戶外活動主動補水</x:v>
      </x:c>
      <x:c r="D6" t="str">
        <x:v>每天約40–100THB/2人</x:v>
      </x:c>
      <x:c r="E6" t="str">
        <x:v>中</x:v>
      </x:c>
      <x:c r="F6" t="str">
        <x:v>—</x:v>
      </x:c>
      <x:c r="G6" t="str">
        <x:v>—</x:v>
      </x:c>
      <x:c r="H6" t="str">
        <x:v>雨季濕熱也會脫水</x:v>
      </x:c>
    </x:row>
    <x:row r="7">
      <x:c r="A7" t="str">
        <x:v>小額現金</x:v>
      </x:c>
      <x:c r="B7" t="str">
        <x:v>市場、雙條車、小店常用現金</x:v>
      </x:c>
      <x:c r="C7" t="str">
        <x:v>每天錢包帶2,000–4,000THB/2人，再依活動調整</x:v>
      </x:c>
      <x:c r="D7" t="str">
        <x:v>依當日</x:v>
      </x:c>
      <x:c r="E7" t="str">
        <x:v>中</x:v>
      </x:c>
      <x:c r="F7" t="str">
        <x:v>—</x:v>
      </x:c>
      <x:c r="G7" t="str">
        <x:v>—</x:v>
      </x:c>
      <x:c r="H7" t="str">
        <x:v>財力證明資金與日常錢包分開</x:v>
      </x:c>
    </x:row>
    <x:row r="8">
      <x:c r="A8" t="str">
        <x:v>ATM/刷卡</x:v>
      </x:c>
      <x:c r="B8" t="str">
        <x:v>海外提款與刷卡可能有銀行/ATM手續費</x:v>
      </x:c>
      <x:c r="C8" t="str">
        <x:v>優先有回饋信用卡＋正式換錢所；提款前看螢幕費用</x:v>
      </x:c>
      <x:c r="D8" t="str">
        <x:v>依銀行</x:v>
      </x:c>
      <x:c r="E8" t="str">
        <x:v>中</x:v>
      </x:c>
      <x:c r="F8" t="str">
        <x:v>—</x:v>
      </x:c>
      <x:c r="G8" t="str">
        <x:v>—</x:v>
      </x:c>
      <x:c r="H8" t="str">
        <x:v>遇到DCC/以TWD結算通常先比較，不要盲選</x:v>
      </x:c>
    </x:row>
    <x:row r="9">
      <x:c r="A9" t="str">
        <x:v>叫車</x:v>
      </x:c>
      <x:c r="B9" t="str">
        <x:v>Grab/Bolt可比價；雙條車適合短程/在地移動</x:v>
      </x:c>
      <x:c r="C9" t="str">
        <x:v>核對車牌、上車點；雨天預留叫車時間</x:v>
      </x:c>
      <x:c r="D9" t="str">
        <x:v>動態</x:v>
      </x:c>
      <x:c r="E9" t="str">
        <x:v>中</x:v>
      </x:c>
      <x:c r="F9" t="str">
        <x:v>—</x:v>
      </x:c>
      <x:c r="G9" t="str">
        <x:v>—</x:v>
      </x:c>
      <x:c r="H9" t="str">
        <x:v>不要交護照當押品</x:v>
      </x:c>
    </x:row>
    <x:row r="10">
      <x:c r="A10" t="str">
        <x:v>寺廟</x:v>
      </x:c>
      <x:c r="B10" t="str">
        <x:v>遮肩過膝、進殿脫鞋、尊重禁拍/性別區域</x:v>
      </x:c>
      <x:c r="C10" t="str">
        <x:v>隨身薄罩衫；鞋襪好穿脫</x:v>
      </x:c>
      <x:c r="D10" t="str">
        <x:v>多數低門票/免費</x:v>
      </x:c>
      <x:c r="E10" t="str">
        <x:v>中</x:v>
      </x:c>
      <x:c r="F10" t="str">
        <x:v>—</x:v>
      </x:c>
      <x:c r="G10" t="str">
        <x:v>—</x:v>
      </x:c>
      <x:c r="H10" t="str">
        <x:v>銀廟女性不可入主殿</x:v>
      </x:c>
    </x:row>
    <x:row r="11">
      <x:c r="A11" t="str">
        <x:v>防詐/交易</x:v>
      </x:c>
      <x:c r="B11" t="str">
        <x:v>旅遊區可能遇推銷、價格不清、非官方換錢/叫車</x:v>
      </x:c>
      <x:c r="C11" t="str">
        <x:v>先問總價、保留付款紀錄、陌生人不代刷/代領</x:v>
      </x:c>
      <x:c r="D11" t="str">
        <x:v>—</x:v>
      </x:c>
      <x:c r="E11" t="str">
        <x:v>高</x:v>
      </x:c>
      <x:c r="F11" t="str">
        <x:v>https://www.touristpolice.go.th/en/main</x:v>
      </x:c>
      <x:c r="G11" t="str">
        <x:v>2026/09/13</x:v>
      </x:c>
      <x:c r="H11" t="str">
        <x:v>糾紛可打1155</x:v>
      </x:c>
    </x:row>
    <x:row r="12">
      <x:c r="A12" t="str">
        <x:v>VAT退稅</x:v>
      </x:c>
      <x:c r="B12" t="str">
        <x:v>同一店同一天含VAT購物≥2,000THB，且店家有VAT REFUND標誌；需護照並取得P.P.10/e-P.P.10及正本稅單</x:v>
      </x:c>
      <x:c r="C12" t="str">
        <x:v>高額購物當下就問，不要回飯店才想補</x:v>
      </x:c>
      <x:c r="D12" t="str">
        <x:v>≥2,000THB/店/日</x:v>
      </x:c>
      <x:c r="E12" t="str">
        <x:v>中</x:v>
      </x:c>
      <x:c r="F12" t="str">
        <x:v>https://vrtweb.rd.go.th/81.html</x:v>
      </x:c>
      <x:c r="G12" t="str">
        <x:v>2026/09/13</x:v>
      </x:c>
      <x:c r="H12" t="str">
        <x:v>總購物≥20,000THB者離境前需依規定先給海關看貨品/文件</x:v>
      </x:c>
    </x:row>
    <x:row r="13">
      <x:c r="A13" t="str">
        <x:v>退稅高價品</x:v>
      </x:c>
      <x:c r="B13" t="str">
        <x:v>部分高價/奢侈品還要通關後再次出示</x:v>
      </x:c>
      <x:c r="C13" t="str">
        <x:v>不要先把需查驗商品塞進托運</x:v>
      </x:c>
      <x:c r="D13" t="str">
        <x:v>依商品</x:v>
      </x:c>
      <x:c r="E13" t="str">
        <x:v>中</x:v>
      </x:c>
      <x:c r="F13" t="str">
        <x:v>https://vrtweb.rd.go.th/81.html</x:v>
      </x:c>
      <x:c r="G13" t="str">
        <x:v>2026/09/13</x:v>
      </x:c>
      <x:c r="H13" t="str">
        <x:v>規則以Revenue Department最新版為準</x:v>
      </x:c>
    </x:row>
    <x:row r="14">
      <x:c r="A14" t="str">
        <x:v>雨季鞋襪</x:v>
      </x:c>
      <x:c r="B14" t="str">
        <x:v>積水/濕滑比單純淋雨更麻煩</x:v>
      </x:c>
      <x:c r="C14" t="str">
        <x:v>一雙包鞋＋一雙防水涼鞋；備薄襪</x:v>
      </x:c>
      <x:c r="D14" t="str">
        <x:v>自備</x:v>
      </x:c>
      <x:c r="E14" t="str">
        <x:v>中</x:v>
      </x:c>
      <x:c r="F14" t="str">
        <x:v>https://tmd.go.th/forecast/monthly/092026</x:v>
      </x:c>
      <x:c r="G14" t="str">
        <x:v>2026/09/13</x:v>
      </x:c>
      <x:c r="H14" t="str">
        <x:v>Skyline仍需包鞋</x:v>
      </x:c>
    </x:row>
    <x:row r="15">
      <x:c r="A15" t="str">
        <x:v>每日備份</x:v>
      </x:c>
      <x:c r="B15" t="str">
        <x:v>手機失竊/沒電時，另一人仍要能開訂單/飯店地址</x:v>
      </x:c>
      <x:c r="C15" t="str">
        <x:v>兩人互存對方的護照影本、住宿、航班、保險、TDAC</x:v>
      </x:c>
      <x:c r="D15" t="str">
        <x:v>—</x:v>
      </x:c>
      <x:c r="E15" t="str">
        <x:v>高</x:v>
      </x:c>
      <x:c r="F15" t="str">
        <x:v>—</x:v>
      </x:c>
      <x:c r="G15" t="str">
        <x:v>—</x:v>
      </x:c>
      <x:c r="H15" t="str">
        <x:v>敏感資料回國後再清除共享裝置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sheetData>
    <x:row r="1">
      <x:c r="A1" t="str">
        <x:v>吃喝、按摩、購物與外送候選庫</x:v>
      </x:c>
      <x:c r="B1"/>
      <x:c r="C1"/>
      <x:c r="D1"/>
      <x:c r="E1"/>
      <x:c r="F1"/>
      <x:c r="G1"/>
      <x:c r="H1"/>
      <x:c r="I1"/>
    </x:row>
    <x:row r="2">
      <x:c r="A2" t="str">
        <x:v>保留原始Excel蒐集內容；這些是『可選資源』，不是每天都要完成。</x:v>
      </x:c>
      <x:c r="B2"/>
      <x:c r="C2"/>
      <x:c r="D2"/>
      <x:c r="E2"/>
      <x:c r="F2"/>
      <x:c r="G2"/>
      <x:c r="H2"/>
      <x:c r="I2"/>
    </x:row>
    <x:row r="3">
      <x:c r="A3"/>
      <x:c r="B3"/>
      <x:c r="C3"/>
      <x:c r="D3"/>
      <x:c r="E3"/>
      <x:c r="F3"/>
      <x:c r="G3"/>
      <x:c r="H3"/>
      <x:c r="I3"/>
    </x:row>
    <x:row r="4">
      <x:c r="A4" t="str">
        <x:v>類別</x:v>
      </x:c>
      <x:c r="B4" t="str">
        <x:v>名稱</x:v>
      </x:c>
      <x:c r="C4" t="str">
        <x:v>區域/搭配日</x:v>
      </x:c>
      <x:c r="D4" t="str">
        <x:v>時間/原始筆記</x:v>
      </x:c>
      <x:c r="E4" t="str">
        <x:v>2人預算</x:v>
      </x:c>
      <x:c r="F4" t="str">
        <x:v>推薦</x:v>
      </x:c>
      <x:c r="G4" t="str">
        <x:v>適合情境</x:v>
      </x:c>
      <x:c r="H4" t="str">
        <x:v>原始/購買連結</x:v>
      </x:c>
      <x:c r="I4" t="str">
        <x:v>注意</x:v>
      </x:c>
    </x:row>
    <x:row r="5">
      <x:c r="A5" t="str">
        <x:v>餐飲</x:v>
      </x:c>
      <x:c r="B5" t="str">
        <x:v>Neng Roasted Pork</x:v>
      </x:c>
      <x:c r="C5" t="str">
        <x:v>9/24市區</x:v>
      </x:c>
      <x:c r="D5" t="str">
        <x:v>原筆記10:30–22:00</x:v>
      </x:c>
      <x:c r="E5" t="str">
        <x:v>200–500 THB</x:v>
      </x:c>
      <x:c r="F5" t="str">
        <x:v>推薦</x:v>
      </x:c>
      <x:c r="G5" t="str">
        <x:v>大象日簡單晚餐</x:v>
      </x:c>
      <x:c r="H5" t="str">
        <x:v>—</x:v>
      </x:c>
      <x:c r="I5" t="str">
        <x:v>可外送</x:v>
      </x:c>
    </x:row>
    <x:row r="6">
      <x:c r="A6" t="str">
        <x:v>飲品</x:v>
      </x:c>
      <x:c r="B6" t="str">
        <x:v>Joost Smoothies</x:v>
      </x:c>
      <x:c r="C6" t="str">
        <x:v>9/24市區</x:v>
      </x:c>
      <x:c r="D6" t="str">
        <x:v>08:00–21:00</x:v>
      </x:c>
      <x:c r="E6" t="str">
        <x:v>120–300 THB</x:v>
      </x:c>
      <x:c r="F6" t="str">
        <x:v>可選</x:v>
      </x:c>
      <x:c r="G6" t="str">
        <x:v>活動後補水</x:v>
      </x:c>
      <x:c r="H6" t="str">
        <x:v>—</x:v>
      </x:c>
      <x:c r="I6" t="str">
        <x:v>—</x:v>
      </x:c>
    </x:row>
    <x:row r="7">
      <x:c r="A7" t="str">
        <x:v>咖啡</x:v>
      </x:c>
      <x:c r="B7" t="str">
        <x:v>SAAO BAHTs COFFEE</x:v>
      </x:c>
      <x:c r="C7" t="str">
        <x:v>9/25</x:v>
      </x:c>
      <x:c r="D7" t="str">
        <x:v>07:00–15:00</x:v>
      </x:c>
      <x:c r="E7" t="str">
        <x:v>160–350 THB</x:v>
      </x:c>
      <x:c r="F7" t="str">
        <x:v>可選</x:v>
      </x:c>
      <x:c r="G7" t="str">
        <x:v>Skyline回程早才去</x:v>
      </x:c>
      <x:c r="H7" t="str">
        <x:v>—</x:v>
      </x:c>
      <x:c r="I7" t="str">
        <x:v>不要硬趕</x:v>
      </x:c>
    </x:row>
    <x:row r="8">
      <x:c r="A8" t="str">
        <x:v>咖啡</x:v>
      </x:c>
      <x:c r="B8" t="str">
        <x:v>Baan 104</x:v>
      </x:c>
      <x:c r="C8" t="str">
        <x:v>9/25</x:v>
      </x:c>
      <x:c r="D8" t="str">
        <x:v>09:00–17:00</x:v>
      </x:c>
      <x:c r="E8" t="str">
        <x:v>180–400 THB</x:v>
      </x:c>
      <x:c r="F8" t="str">
        <x:v>可選</x:v>
      </x:c>
      <x:c r="G8" t="str">
        <x:v>SAAO關門後備選</x:v>
      </x:c>
      <x:c r="H8" t="str">
        <x:v>—</x:v>
      </x:c>
      <x:c r="I8" t="str">
        <x:v>—</x:v>
      </x:c>
    </x:row>
    <x:row r="9">
      <x:c r="A9" t="str">
        <x:v>餐飲</x:v>
      </x:c>
      <x:c r="B9" t="str">
        <x:v>Meena Rice Based Cuisine</x:v>
      </x:c>
      <x:c r="C9" t="str">
        <x:v>9/26</x:v>
      </x:c>
      <x:c r="D9" t="str">
        <x:v>午餐</x:v>
      </x:c>
      <x:c r="E9" t="str">
        <x:v>500–900 THB</x:v>
      </x:c>
      <x:c r="F9" t="str">
        <x:v>推薦</x:v>
      </x:c>
      <x:c r="G9" t="str">
        <x:v>Chamcha最順</x:v>
      </x:c>
      <x:c r="H9" t="str">
        <x:v>—</x:v>
      </x:c>
      <x:c r="I9" t="str">
        <x:v>熱門時段可能等位</x:v>
      </x:c>
    </x:row>
    <x:row r="10">
      <x:c r="A10" t="str">
        <x:v>咖啡/動物</x:v>
      </x:c>
      <x:c r="B10" t="str">
        <x:v>Home'S</x:v>
      </x:c>
      <x:c r="C10" t="str">
        <x:v>9/26</x:v>
      </x:c>
      <x:c r="D10" t="str">
        <x:v>10:00–17:00</x:v>
      </x:c>
      <x:c r="E10" t="str">
        <x:v>250–500 THB</x:v>
      </x:c>
      <x:c r="F10" t="str">
        <x:v>可選</x:v>
      </x:c>
      <x:c r="G10" t="str">
        <x:v>晴天有體力</x:v>
      </x:c>
      <x:c r="H10" t="str">
        <x:v>—</x:v>
      </x:c>
      <x:c r="I10" t="str">
        <x:v>對毛髮過敏留意</x:v>
      </x:c>
    </x:row>
    <x:row r="11">
      <x:c r="A11" t="str">
        <x:v>咖啡/選物</x:v>
      </x:c>
      <x:c r="B11" t="str">
        <x:v>Mainiji / be joyful / Buncha's / GRAPH</x:v>
      </x:c>
      <x:c r="C11" t="str">
        <x:v>9/27舊城</x:v>
      </x:c>
      <x:c r="D11" t="str">
        <x:v>依店家</x:v>
      </x:c>
      <x:c r="E11" t="str">
        <x:v>300–900 THB</x:v>
      </x:c>
      <x:c r="F11" t="str">
        <x:v>可選</x:v>
      </x:c>
      <x:c r="G11" t="str">
        <x:v>週日下午挑2–3間</x:v>
      </x:c>
      <x:c r="H11" t="str">
        <x:v>—</x:v>
      </x:c>
      <x:c r="I11" t="str">
        <x:v>小店臨休常見</x:v>
      </x:c>
    </x:row>
    <x:row r="12">
      <x:c r="A12" t="str">
        <x:v>早餐</x:v>
      </x:c>
      <x:c r="B12" t="str">
        <x:v>恐龍油條</x:v>
      </x:c>
      <x:c r="C12" t="str">
        <x:v>9/28</x:v>
      </x:c>
      <x:c r="D12" t="str">
        <x:v>原筆記06:30–12:00 / 13:00–16:00</x:v>
      </x:c>
      <x:c r="E12" t="str">
        <x:v>100–250 THB</x:v>
      </x:c>
      <x:c r="F12" t="str">
        <x:v>推薦</x:v>
      </x:c>
      <x:c r="G12" t="str">
        <x:v>Chang Moi日早餐</x:v>
      </x:c>
      <x:c r="H12" t="str">
        <x:v>—</x:v>
      </x:c>
      <x:c r="I12" t="str">
        <x:v>—</x:v>
      </x:c>
    </x:row>
    <x:row r="13">
      <x:c r="A13" t="str">
        <x:v>餐飲</x:v>
      </x:c>
      <x:c r="B13" t="str">
        <x:v>Guay Jub Chang Moi Tat Mai</x:v>
      </x:c>
      <x:c r="C13" t="str">
        <x:v>9/28</x:v>
      </x:c>
      <x:c r="D13" t="str">
        <x:v>10:00–15:00</x:v>
      </x:c>
      <x:c r="E13" t="str">
        <x:v>160–350 THB</x:v>
      </x:c>
      <x:c r="F13" t="str">
        <x:v>推薦</x:v>
      </x:c>
      <x:c r="G13" t="str">
        <x:v>藤編街順路</x:v>
      </x:c>
      <x:c r="H13" t="str">
        <x:v>—</x:v>
      </x:c>
      <x:c r="I13" t="str">
        <x:v>—</x:v>
      </x:c>
    </x:row>
    <x:row r="14">
      <x:c r="A14" t="str">
        <x:v>甜點</x:v>
      </x:c>
      <x:c r="B14" t="str">
        <x:v>Rich Homemade Cake</x:v>
      </x:c>
      <x:c r="C14" t="str">
        <x:v>9/28</x:v>
      </x:c>
      <x:c r="D14" t="str">
        <x:v>09:00–18:00</x:v>
      </x:c>
      <x:c r="E14" t="str">
        <x:v>160–350 THB</x:v>
      </x:c>
      <x:c r="F14" t="str">
        <x:v>可選</x:v>
      </x:c>
      <x:c r="G14" t="str">
        <x:v>午後休息</x:v>
      </x:c>
      <x:c r="H14" t="str">
        <x:v>—</x:v>
      </x:c>
      <x:c r="I14" t="str">
        <x:v>—</x:v>
      </x:c>
    </x:row>
    <x:row r="15">
      <x:c r="A15" t="str">
        <x:v>早餐</x:v>
      </x:c>
      <x:c r="B15" t="str">
        <x:v>Khao Soi Maesai</x:v>
      </x:c>
      <x:c r="C15" t="str">
        <x:v>9/29</x:v>
      </x:c>
      <x:c r="D15" t="str">
        <x:v>08:00–16:00</x:v>
      </x:c>
      <x:c r="E15" t="str">
        <x:v>160–300 THB</x:v>
      </x:c>
      <x:c r="F15" t="str">
        <x:v>推薦</x:v>
      </x:c>
      <x:c r="G15" t="str">
        <x:v>早去</x:v>
      </x:c>
      <x:c r="H15" t="str">
        <x:v>—</x:v>
      </x:c>
      <x:c r="I15" t="str">
        <x:v>—</x:v>
      </x:c>
    </x:row>
    <x:row r="16">
      <x:c r="A16" t="str">
        <x:v>咖啡</x:v>
      </x:c>
      <x:c r="B16" t="str">
        <x:v>Akha Ama Phrasingh</x:v>
      </x:c>
      <x:c r="C16" t="str">
        <x:v>9/29</x:v>
      </x:c>
      <x:c r="D16" t="str">
        <x:v>08:00–18:00</x:v>
      </x:c>
      <x:c r="E16" t="str">
        <x:v>200–500 THB</x:v>
      </x:c>
      <x:c r="F16" t="str">
        <x:v>推薦</x:v>
      </x:c>
      <x:c r="G16" t="str">
        <x:v>帕邢寺後</x:v>
      </x:c>
      <x:c r="H16" t="str">
        <x:v>—</x:v>
      </x:c>
      <x:c r="I16" t="str">
        <x:v>可買咖啡豆</x:v>
      </x:c>
    </x:row>
    <x:row r="17">
      <x:c r="A17" t="str">
        <x:v>午餐</x:v>
      </x:c>
      <x:c r="B17" t="str">
        <x:v>B Samcook Home16</x:v>
      </x:c>
      <x:c r="C17" t="str">
        <x:v>9/30</x:v>
      </x:c>
      <x:c r="D17" t="str">
        <x:v>已訂11:30</x:v>
      </x:c>
      <x:c r="E17" t="str">
        <x:v>待填</x:v>
      </x:c>
      <x:c r="F17" t="str">
        <x:v>必要</x:v>
      </x:c>
      <x:c r="G17" t="str">
        <x:v>固定預約</x:v>
      </x:c>
      <x:c r="H17" t="str">
        <x:v>—</x:v>
      </x:c>
      <x:c r="I17" t="str">
        <x:v>補實付價</x:v>
      </x:c>
    </x:row>
    <x:row r="18">
      <x:c r="A18" t="str">
        <x:v>市集</x:v>
      </x:c>
      <x:c r="B18" t="str">
        <x:v>White Market @ One Nimman</x:v>
      </x:c>
      <x:c r="C18" t="str">
        <x:v>10/1</x:v>
      </x:c>
      <x:c r="D18" t="str">
        <x:v>原筆記Thu–Sun 15:00–22:00</x:v>
      </x:c>
      <x:c r="E18" t="str">
        <x:v>300–700 THB</x:v>
      </x:c>
      <x:c r="F18" t="str">
        <x:v>推薦</x:v>
      </x:c>
      <x:c r="G18" t="str">
        <x:v>Nimman傍晚</x:v>
      </x:c>
      <x:c r="H18" t="str">
        <x:v>—</x:v>
      </x:c>
      <x:c r="I18" t="str">
        <x:v>雨大縮短戶外</x:v>
      </x:c>
    </x:row>
    <x:row r="19">
      <x:c r="A19" t="str">
        <x:v>餐飲</x:v>
      </x:c>
      <x:c r="B19" t="str">
        <x:v>Baan Landai</x:v>
      </x:c>
      <x:c r="C19" t="str">
        <x:v>10/2</x:v>
      </x:c>
      <x:c r="D19" t="str">
        <x:v>建議預約</x:v>
      </x:c>
      <x:c r="E19" t="str">
        <x:v>700–1300 THB</x:v>
      </x:c>
      <x:c r="F19" t="str">
        <x:v>推薦</x:v>
      </x:c>
      <x:c r="G19" t="str">
        <x:v>最後晚餐</x:v>
      </x:c>
      <x:c r="H19" t="str">
        <x:v>—</x:v>
      </x:c>
      <x:c r="I19" t="str">
        <x:v>—</x:v>
      </x:c>
    </x:row>
    <x:row r="20">
      <x:c r="A20" t="str">
        <x:v>按摩</x:v>
      </x:c>
      <x:c r="B20" t="str">
        <x:v>Calm Massage &amp; Spa</x:v>
      </x:c>
      <x:c r="C20" t="str">
        <x:v>10/2/備選</x:v>
      </x:c>
      <x:c r="D20" t="str">
        <x:v>裝潢文青</x:v>
      </x:c>
      <x:c r="E20" t="str">
        <x:v>700–1600 THB</x:v>
      </x:c>
      <x:c r="F20" t="str">
        <x:v>推薦</x:v>
      </x:c>
      <x:c r="G20" t="str">
        <x:v>雨天/收尾</x:v>
      </x:c>
      <x:c r="H20" t="str">
        <x:v>https://www.klook.com/zh-TW/activity/104176-calm-massage-spa-chiang-mai-thailand/</x:v>
      </x:c>
      <x:c r="I20" t="str">
        <x:v>原始Excel候選</x:v>
      </x:c>
    </x:row>
    <x:row r="21">
      <x:c r="A21" t="str">
        <x:v>按摩</x:v>
      </x:c>
      <x:c r="B21" t="str">
        <x:v>Nimman House</x:v>
      </x:c>
      <x:c r="C21" t="str">
        <x:v>10/1</x:v>
      </x:c>
      <x:c r="D21" t="str">
        <x:v>尼曼</x:v>
      </x:c>
      <x:c r="E21" t="str">
        <x:v>600–1400 THB</x:v>
      </x:c>
      <x:c r="F21" t="str">
        <x:v>推薦</x:v>
      </x:c>
      <x:c r="G21" t="str">
        <x:v>逛街後</x:v>
      </x:c>
      <x:c r="H21" t="str">
        <x:v>https://www.klook.com/zh-TW/activity/78985-nimman-house-experience-chiang-mai/</x:v>
      </x:c>
      <x:c r="I21" t="str">
        <x:v>原始Excel候選</x:v>
      </x:c>
    </x:row>
    <x:row r="22">
      <x:c r="A22" t="str">
        <x:v>按摩</x:v>
      </x:c>
      <x:c r="B22" t="str">
        <x:v>Lila Thai</x:v>
      </x:c>
      <x:c r="C22" t="str">
        <x:v>9/27</x:v>
      </x:c>
      <x:c r="D22" t="str">
        <x:v>夜市後</x:v>
      </x:c>
      <x:c r="E22" t="str">
        <x:v>600–1400 THB</x:v>
      </x:c>
      <x:c r="F22" t="str">
        <x:v>推薦</x:v>
      </x:c>
      <x:c r="G22" t="str">
        <x:v>週日雨備</x:v>
      </x:c>
      <x:c r="H22" t="str">
        <x:v>https://www.klook.com/zh-TW/activity/9019-lila-thai-massage-chiang-mai/</x:v>
      </x:c>
      <x:c r="I22" t="str">
        <x:v>先預約</x:v>
      </x:c>
    </x:row>
    <x:row r="23">
      <x:c r="A23" t="str">
        <x:v>按摩</x:v>
      </x:c>
      <x:c r="B23" t="str">
        <x:v>DIVANA</x:v>
      </x:c>
      <x:c r="C23" t="str">
        <x:v>備選</x:v>
      </x:c>
      <x:c r="D23" t="str">
        <x:v>高階SPA</x:v>
      </x:c>
      <x:c r="E23" t="str">
        <x:v>依方案</x:v>
      </x:c>
      <x:c r="F23" t="str">
        <x:v>可選</x:v>
      </x:c>
      <x:c r="G23" t="str">
        <x:v>想升級SPA</x:v>
      </x:c>
      <x:c r="H23" t="str">
        <x:v>https://www.klook.com/zh-TW/activity/90200-divana-lana-spa-experience-thailand-chiang-mai/</x:v>
      </x:c>
      <x:c r="I23" t="str">
        <x:v>原始Excel候選</x:v>
      </x:c>
    </x:row>
    <x:row r="24">
      <x:c r="A24" t="str">
        <x:v>按摩</x:v>
      </x:c>
      <x:c r="B24" t="str">
        <x:v>Antique Massage and Spa</x:v>
      </x:c>
      <x:c r="C24" t="str">
        <x:v>9/26/備選</x:v>
      </x:c>
      <x:c r="D24" t="str">
        <x:v>注意分店</x:v>
      </x:c>
      <x:c r="E24" t="str">
        <x:v>600–1200 THB</x:v>
      </x:c>
      <x:c r="F24" t="str">
        <x:v>可選</x:v>
      </x:c>
      <x:c r="G24" t="str">
        <x:v>下午空檔</x:v>
      </x:c>
      <x:c r="H24" t="str">
        <x:v>—</x:v>
      </x:c>
      <x:c r="I24" t="str">
        <x:v>不要訂錯分店</x:v>
      </x:c>
    </x:row>
    <x:row r="25">
      <x:c r="A25" t="str">
        <x:v>按摩</x:v>
      </x:c>
      <x:c r="B25" t="str">
        <x:v>Cheeva Spa</x:v>
      </x:c>
      <x:c r="C25" t="str">
        <x:v>備選</x:v>
      </x:c>
      <x:c r="D25" t="str">
        <x:v>SPA</x:v>
      </x:c>
      <x:c r="E25" t="str">
        <x:v>依方案</x:v>
      </x:c>
      <x:c r="F25" t="str">
        <x:v>可選</x:v>
      </x:c>
      <x:c r="G25" t="str">
        <x:v>高階替代</x:v>
      </x:c>
      <x:c r="H25" t="str">
        <x:v>https://www.klook.com/zh-HK/activity/78957-cheeva-spa-experience-chiangmai/</x:v>
      </x:c>
      <x:c r="I25" t="str">
        <x:v>原始Excel候選</x:v>
      </x:c>
    </x:row>
    <x:row r="26">
      <x:c r="A26" t="str">
        <x:v>按摩</x:v>
      </x:c>
      <x:c r="B26" t="str">
        <x:v>Let's Relax Spa</x:v>
      </x:c>
      <x:c r="C26" t="str">
        <x:v>備選</x:v>
      </x:c>
      <x:c r="D26" t="str">
        <x:v>連鎖SPA</x:v>
      </x:c>
      <x:c r="E26" t="str">
        <x:v>依方案</x:v>
      </x:c>
      <x:c r="F26" t="str">
        <x:v>可選</x:v>
      </x:c>
      <x:c r="G26" t="str">
        <x:v>雨天/商圈</x:v>
      </x:c>
      <x:c r="H26" t="str">
        <x:v>https://www.klook.com/zh-TW/activity/2142-lets-relax-spa-treatments-chiang-mai/</x:v>
      </x:c>
      <x:c r="I26" t="str">
        <x:v>原始Excel候選</x:v>
      </x:c>
    </x:row>
    <x:row r="27">
      <x:c r="A27" t="str">
        <x:v>按摩</x:v>
      </x:c>
      <x:c r="B27" t="str">
        <x:v>Zira Spa</x:v>
      </x:c>
      <x:c r="C27" t="str">
        <x:v>備選</x:v>
      </x:c>
      <x:c r="D27" t="str">
        <x:v>SPA</x:v>
      </x:c>
      <x:c r="E27" t="str">
        <x:v>依方案</x:v>
      </x:c>
      <x:c r="F27" t="str">
        <x:v>可選</x:v>
      </x:c>
      <x:c r="G27" t="str">
        <x:v>雨天</x:v>
      </x:c>
      <x:c r="H27" t="str">
        <x:v>https://www.klook.com/zh-HK/activity/20087-zira-spa-experience-chiang-mai/</x:v>
      </x:c>
      <x:c r="I27" t="str">
        <x:v>原始Excel候選</x:v>
      </x:c>
    </x:row>
    <x:row r="28">
      <x:c r="A28" t="str">
        <x:v>按摩</x:v>
      </x:c>
      <x:c r="B28" t="str">
        <x:v>Kiyora Spa</x:v>
      </x:c>
      <x:c r="C28" t="str">
        <x:v>備選</x:v>
      </x:c>
      <x:c r="D28" t="str">
        <x:v>SPA</x:v>
      </x:c>
      <x:c r="E28" t="str">
        <x:v>依方案</x:v>
      </x:c>
      <x:c r="F28" t="str">
        <x:v>可選</x:v>
      </x:c>
      <x:c r="G28" t="str">
        <x:v>雨天</x:v>
      </x:c>
      <x:c r="H28" t="str">
        <x:v>https://www.klook.com/zh-HK/activity/3509-kiyora-spa-treatments-chiang-mai/</x:v>
      </x:c>
      <x:c r="I28" t="str">
        <x:v>原始Excel候選</x:v>
      </x:c>
    </x:row>
    <x:row r="29">
      <x:c r="A29" t="str">
        <x:v>按摩</x:v>
      </x:c>
      <x:c r="B29" t="str">
        <x:v>Fah Lanna Old City</x:v>
      </x:c>
      <x:c r="C29" t="str">
        <x:v>9/28</x:v>
      </x:c>
      <x:c r="D29" t="str">
        <x:v>建議預約</x:v>
      </x:c>
      <x:c r="E29" t="str">
        <x:v>1600–3600 THB</x:v>
      </x:c>
      <x:c r="F29" t="str">
        <x:v>推薦</x:v>
      </x:c>
      <x:c r="G29" t="str">
        <x:v>中段休息</x:v>
      </x:c>
      <x:c r="H29" t="str">
        <x:v>https://fahlanna.com/spa-menu/</x:v>
      </x:c>
      <x:c r="I29" t="str">
        <x:v>品質型SPA</x:v>
      </x:c>
    </x:row>
    <x:row r="30">
      <x:c r="A30" t="str">
        <x:v>購物</x:v>
      </x:c>
      <x:c r="B30" t="str">
        <x:v>咖啡豆：AKHA AMA / Blue / Palore / Sirinya / A-Roon</x:v>
      </x:c>
      <x:c r="C30" t="str">
        <x:v>依順路</x:v>
      </x:c>
      <x:c r="D30" t="str">
        <x:v>原始Excel清單</x:v>
      </x:c>
      <x:c r="E30" t="str">
        <x:v>自訂</x:v>
      </x:c>
      <x:c r="F30" t="str">
        <x:v>推薦</x:v>
      </x:c>
      <x:c r="G30" t="str">
        <x:v>伴手禮</x:v>
      </x:c>
      <x:c r="H30" t="str">
        <x:v>—</x:v>
      </x:c>
      <x:c r="I30" t="str">
        <x:v>保留完整包裝</x:v>
      </x:c>
    </x:row>
    <x:row r="31">
      <x:c r="A31" t="str">
        <x:v>購物</x:v>
      </x:c>
      <x:c r="B31" t="str">
        <x:v>Tangerine6391 (Fah Thai) 草編鞋</x:v>
      </x:c>
      <x:c r="C31" t="str">
        <x:v>10/1 Nimman</x:v>
      </x:c>
      <x:c r="D31" t="str">
        <x:v>原筆記12:00–20:30；與Coco Corner同排</x:v>
      </x:c>
      <x:c r="E31" t="str">
        <x:v>自訂</x:v>
      </x:c>
      <x:c r="F31" t="str">
        <x:v>可選</x:v>
      </x:c>
      <x:c r="G31" t="str">
        <x:v>尼曼選物</x:v>
      </x:c>
      <x:c r="H31" t="str">
        <x:v>—</x:v>
      </x:c>
      <x:c r="I31" t="str">
        <x:v>液體/易碎之外，鞋類好帶</x:v>
      </x:c>
    </x:row>
    <x:row r="32">
      <x:c r="A32" t="str">
        <x:v>購物</x:v>
      </x:c>
      <x:c r="B32" t="str">
        <x:v>blackOut 防水涼鞋</x:v>
      </x:c>
      <x:c r="C32" t="str">
        <x:v>依順路</x:v>
      </x:c>
      <x:c r="D32" t="str">
        <x:v>原始Excel</x:v>
      </x:c>
      <x:c r="E32" t="str">
        <x:v>自訂</x:v>
      </x:c>
      <x:c r="F32" t="str">
        <x:v>可選</x:v>
      </x:c>
      <x:c r="G32" t="str">
        <x:v>雨季實用</x:v>
      </x:c>
      <x:c r="H32" t="str">
        <x:v>—</x:v>
      </x:c>
      <x:c r="I32" t="str">
        <x:v>試穿舒適度優先</x:v>
      </x:c>
    </x:row>
    <x:row r="33">
      <x:c r="A33" t="str">
        <x:v>購物</x:v>
      </x:c>
      <x:c r="B33" t="str">
        <x:v>Warorot 芒果乾</x:v>
      </x:c>
      <x:c r="C33" t="str">
        <x:v>10/2</x:v>
      </x:c>
      <x:c r="D33" t="str">
        <x:v>原筆記：入口附近大型攤位</x:v>
      </x:c>
      <x:c r="E33" t="str">
        <x:v>自訂</x:v>
      </x:c>
      <x:c r="F33" t="str">
        <x:v>推薦</x:v>
      </x:c>
      <x:c r="G33" t="str">
        <x:v>可帶回台的加工水果候選</x:v>
      </x:c>
      <x:c r="H33" t="str">
        <x:v>—</x:v>
      </x:c>
      <x:c r="I33" t="str">
        <x:v>仍要看成分/包裝</x:v>
      </x:c>
    </x:row>
    <x:row r="34">
      <x:c r="A34" t="str">
        <x:v>購物</x:v>
      </x:c>
      <x:c r="B34" t="str">
        <x:v>Dumrong 泰北特產店</x:v>
      </x:c>
      <x:c r="C34" t="str">
        <x:v>Warorot</x:v>
      </x:c>
      <x:c r="D34" t="str">
        <x:v>原始筆記提炸豬皮/香腸</x:v>
      </x:c>
      <x:c r="E34" t="str">
        <x:v>自訂</x:v>
      </x:c>
      <x:c r="F34" t="str">
        <x:v>現地吃</x:v>
      </x:c>
      <x:c r="G34" t="str">
        <x:v>市場特色</x:v>
      </x:c>
      <x:c r="H34" t="str">
        <x:v>—</x:v>
      </x:c>
      <x:c r="I34" t="str">
        <x:v>肉製品不要帶回台；只能當地食用較安全</x:v>
      </x:c>
    </x:row>
    <x:row r="35">
      <x:c r="A35" t="str">
        <x:v>購物</x:v>
      </x:c>
      <x:c r="B35" t="str">
        <x:v>龍眼市場 楊阿姨</x:v>
      </x:c>
      <x:c r="C35" t="str">
        <x:v>Warorot連接龍眼市場</x:v>
      </x:c>
      <x:c r="D35" t="str">
        <x:v>原始筆記：會中文、可試吃</x:v>
      </x:c>
      <x:c r="E35" t="str">
        <x:v>自訂</x:v>
      </x:c>
      <x:c r="F35" t="str">
        <x:v>可選</x:v>
      </x:c>
      <x:c r="G35" t="str">
        <x:v>乾貨/伴手禮</x:v>
      </x:c>
      <x:c r="H35" t="str">
        <x:v>—</x:v>
      </x:c>
      <x:c r="I35" t="str">
        <x:v>食品成分先確認</x:v>
      </x:c>
    </x:row>
    <x:row r="36">
      <x:c r="A36" t="str">
        <x:v>外送</x:v>
      </x:c>
      <x:c r="B36" t="str">
        <x:v>Sandy Dough</x:v>
      </x:c>
      <x:c r="C36" t="str">
        <x:v>住宿晚間</x:v>
      </x:c>
      <x:c r="D36" t="str">
        <x:v>原始Excel外送候選</x:v>
      </x:c>
      <x:c r="E36" t="str">
        <x:v>依App</x:v>
      </x:c>
      <x:c r="F36" t="str">
        <x:v>可選</x:v>
      </x:c>
      <x:c r="G36" t="str">
        <x:v>下雨/疲累不出門</x:v>
      </x:c>
      <x:c r="H36" t="str">
        <x:v>—</x:v>
      </x:c>
      <x:c r="I36" t="str">
        <x:v>用Grab/外送App查當日供應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sheetData>
    <x:row r="1">
      <x:c r="A1" t="str">
        <x:v>住宿備選｜目前主住宿仍是Himku</x:v>
      </x:c>
      <x:c r="B1"/>
      <x:c r="C1"/>
      <x:c r="D1"/>
      <x:c r="E1"/>
      <x:c r="F1"/>
      <x:c r="G1"/>
    </x:row>
    <x:row r="2">
      <x:c r="A2" t="str">
        <x:v>保留原始Excel的備選；只有住宿出現問題、延住或臨時換房時才用。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t="str">
        <x:v>住宿</x:v>
      </x:c>
      <x:c r="B4" t="str">
        <x:v>原始價格TWD</x:v>
      </x:c>
      <x:c r="C4" t="str">
        <x:v>位置/地圖</x:v>
      </x:c>
      <x:c r="D4" t="str">
        <x:v>原始評語</x:v>
      </x:c>
      <x:c r="E4" t="str">
        <x:v>優點</x:v>
      </x:c>
      <x:c r="F4" t="str">
        <x:v>風險/缺點</x:v>
      </x:c>
      <x:c r="G4" t="str">
        <x:v>建議用途</x:v>
      </x:c>
    </x:row>
    <x:row r="5">
      <x:c r="A5" t="str">
        <x:v>Himku Hotel</x:v>
      </x:c>
      <x:c r="B5" t="n">
        <x:v>16340</x:v>
      </x:c>
      <x:c r="C5" t="str">
        <x:v>https://maps.app.goo.gl/25Ru9GUNRzvmxVTk8</x:v>
      </x:c>
      <x:c r="D5" t="str">
        <x:v>限成人；部分評論水流小</x:v>
      </x:c>
      <x:c r="E5" t="str">
        <x:v>已選定、Chang Moi動線好</x:v>
      </x:c>
      <x:c r="F5" t="str">
        <x:v>先確認提前代收行李</x:v>
      </x:c>
      <x:c r="G5" t="str">
        <x:v>主住宿</x:v>
      </x:c>
    </x:row>
    <x:row r="6">
      <x:c r="A6" t="str">
        <x:v>ON Thapae Gate Chiangmai</x:v>
      </x:c>
      <x:c r="B6" t="n">
        <x:v>14166</x:v>
      </x:c>
      <x:c r="C6" t="str">
        <x:v>https://maps.app.goo.gl/jVFGcvUM66Y7iAQAA</x:v>
      </x:c>
      <x:c r="D6" t="str">
        <x:v>原始資料僅13則評論</x:v>
      </x:c>
      <x:c r="E6" t="str">
        <x:v>塔佩門方便</x:v>
      </x:c>
      <x:c r="F6" t="str">
        <x:v>樣本評論少</x:v>
      </x:c>
      <x:c r="G6" t="str">
        <x:v>臨時備選</x:v>
      </x:c>
    </x:row>
    <x:row r="7">
      <x:c r="A7" t="str">
        <x:v>De Thaphae Chiangmai</x:v>
      </x:c>
      <x:c r="B7" t="n">
        <x:v>12620</x:v>
      </x:c>
      <x:c r="C7" t="str">
        <x:v>https://maps.app.goo.gl/nktjtnfamp4QwQMA8</x:v>
      </x:c>
      <x:c r="D7" t="str">
        <x:v>民宿；近期評價OK；房間較小</x:v>
      </x:c>
      <x:c r="E7" t="str">
        <x:v>價格較低、古城周邊</x:v>
      </x:c>
      <x:c r="F7" t="str">
        <x:v>房間空間</x:v>
      </x:c>
      <x:c r="G7" t="str">
        <x:v>備選</x:v>
      </x:c>
    </x:row>
    <x:row r="8">
      <x:c r="A8" t="str">
        <x:v>9 Suite Luxury Boutique Hotel</x:v>
      </x:c>
      <x:c r="B8" t="n">
        <x:v>16956</x:v>
      </x:c>
      <x:c r="C8" t="str">
        <x:v>https://maps.app.goo.gl/VtNVzzkjrspefNfo7</x:v>
      </x:c>
      <x:c r="D8" t="str">
        <x:v>有店狗</x:v>
      </x:c>
      <x:c r="E8" t="str">
        <x:v>特色住宿</x:v>
      </x:c>
      <x:c r="F8" t="str">
        <x:v>動物接受度</x:v>
      </x:c>
      <x:c r="G8" t="str">
        <x:v>備選</x:v>
      </x:c>
    </x:row>
    <x:row r="9">
      <x:c r="A9" t="str">
        <x:v>Hueandin Klinmai Boutique Hotel</x:v>
      </x:c>
      <x:c r="B9" t="n">
        <x:v>8972</x:v>
      </x:c>
      <x:c r="C9" t="str">
        <x:v>https://maps.app.goo.gl/qbkqQqD1FFWQwBvx8</x:v>
      </x:c>
      <x:c r="D9" t="str">
        <x:v>離市中心遠；蘭納風；老闆評價好</x:v>
      </x:c>
      <x:c r="E9" t="str">
        <x:v>價格低、風格</x:v>
      </x:c>
      <x:c r="F9" t="str">
        <x:v>交通較遠</x:v>
      </x:c>
      <x:c r="G9" t="str">
        <x:v>延住低價備選</x:v>
      </x:c>
    </x:row>
    <x:row r="10">
      <x:c r="A10" t="str">
        <x:v>Laph kham House</x:v>
      </x:c>
      <x:c r="B10" t="n">
        <x:v>9774</x:v>
      </x:c>
      <x:c r="C10" t="str">
        <x:v>https://maps.app.goo.gl/HGempGFSA2ZHQfTaA</x:v>
      </x:c>
      <x:c r="D10" t="str">
        <x:v>近期OK；較舊評論有噪音/清潔等</x:v>
      </x:c>
      <x:c r="E10" t="str">
        <x:v>價格低</x:v>
      </x:c>
      <x:c r="F10" t="str">
        <x:v>評價分歧</x:v>
      </x:c>
      <x:c r="G10" t="str">
        <x:v>備選</x:v>
      </x:c>
    </x:row>
    <x:row r="11">
      <x:c r="A11" t="str">
        <x:v>296 The Radtanaiya Residence</x:v>
      </x:c>
      <x:c r="B11" t="n">
        <x:v>12458</x:v>
      </x:c>
      <x:c r="C11" t="str">
        <x:v>https://maps.app.goo.gl/BKBZXgWbeRT7SjfG8</x:v>
      </x:c>
      <x:c r="D11" t="str">
        <x:v>離市中心遠；近期評價OK</x:v>
      </x:c>
      <x:c r="E11" t="str">
        <x:v>價格中等</x:v>
      </x:c>
      <x:c r="F11" t="str">
        <x:v>交通</x:v>
      </x:c>
      <x:c r="G11" t="str">
        <x:v>備選</x:v>
      </x:c>
    </x:row>
    <x:row r="12">
      <x:c r="A12" t="str">
        <x:v>Thongran's House</x:v>
      </x:c>
      <x:c r="B12" t="n">
        <x:v>13807</x:v>
      </x:c>
      <x:c r="C12" t="str">
        <x:v>https://maps.app.goo.gl/QXxgqZD2rfpnBUS1A</x:v>
      </x:c>
      <x:c r="D12" t="str">
        <x:v>近期評價OK；有貓狗</x:v>
      </x:c>
      <x:c r="E12" t="str">
        <x:v>民宿感</x:v>
      </x:c>
      <x:c r="F12" t="str">
        <x:v>動物/民宿型</x:v>
      </x:c>
      <x:c r="G12" t="str">
        <x:v>備選</x:v>
      </x:c>
    </x:row>
    <x:row r="13">
      <x:c r="A13" t="str">
        <x:v>The Khom Chiang Mai</x:v>
      </x:c>
      <x:c r="B13" t="n">
        <x:v>16528</x:v>
      </x:c>
      <x:c r="C13" t="str">
        <x:v>https://maps.app.goo.gl/cP5ANotYCAgWaHkS9</x:v>
      </x:c>
      <x:c r="D13" t="str">
        <x:v>評價好；有Cafe and Wine Bar</x:v>
      </x:c>
      <x:c r="E13" t="str">
        <x:v>氛圍</x:v>
      </x:c>
      <x:c r="F13" t="str">
        <x:v>可能噪音</x:v>
      </x:c>
      <x:c r="G13" t="str">
        <x:v>備選</x:v>
      </x:c>
    </x:row>
    <x:row r="14">
      <x:c r="A14" t="str">
        <x:v>Pastell Oldtown Hotel</x:v>
      </x:c>
      <x:c r="B14" t="n">
        <x:v>18067</x:v>
      </x:c>
      <x:c r="C14" t="str">
        <x:v>https://maps.app.goo.gl/YywG2pVr7Zkc79H2A</x:v>
      </x:c>
      <x:c r="D14" t="str">
        <x:v>房間較小</x:v>
      </x:c>
      <x:c r="E14" t="str">
        <x:v>Old Town</x:v>
      </x:c>
      <x:c r="F14" t="str">
        <x:v>空間</x:v>
      </x:c>
      <x:c r="G14" t="str">
        <x:v>備選</x:v>
      </x:c>
    </x:row>
    <x:row r="15">
      <x:c r="A15" t="str">
        <x:v>iThaphae Hotel</x:v>
      </x:c>
      <x:c r="B15" t="n">
        <x:v>18261</x:v>
      </x:c>
      <x:c r="C15" t="str">
        <x:v>https://maps.app.goo.gl/eZh5BVqKpW7pZ6246</x:v>
      </x:c>
      <x:c r="D15" t="str">
        <x:v>更靠古城；特大床</x:v>
      </x:c>
      <x:c r="E15" t="str">
        <x:v>位置</x:v>
      </x:c>
      <x:c r="F15" t="str">
        <x:v>價格較高</x:v>
      </x:c>
      <x:c r="G15" t="str">
        <x:v>備選</x:v>
      </x:c>
    </x:row>
    <x:row r="16">
      <x:c r="A16" t="str">
        <x:v>Lis Hotel Chiangmai</x:v>
      </x:c>
      <x:c r="B16" t="n">
        <x:v>18635</x:v>
      </x:c>
      <x:c r="C16" t="str">
        <x:v>https://maps.app.goo.gl/HGBvX2iqScwg4SvJ8</x:v>
      </x:c>
      <x:c r="D16" t="str">
        <x:v>新飯店</x:v>
      </x:c>
      <x:c r="E16" t="str">
        <x:v>新</x:v>
      </x:c>
      <x:c r="F16" t="str">
        <x:v>價格</x:v>
      </x:c>
      <x:c r="G16" t="str">
        <x:v>備選</x:v>
      </x:c>
    </x:row>
    <x:row r="17">
      <x:c r="A17" t="str">
        <x:v>MiLa Thapae Hotel</x:v>
      </x:c>
      <x:c r="B17" t="n">
        <x:v>19541</x:v>
      </x:c>
      <x:c r="C17" t="str">
        <x:v>https://maps.app.goo.gl/AkQbFxtn51CRJDSEA</x:v>
      </x:c>
      <x:c r="D17" t="str">
        <x:v>有浴缸；沒電梯</x:v>
      </x:c>
      <x:c r="E17" t="str">
        <x:v>房間特色</x:v>
      </x:c>
      <x:c r="F17" t="str">
        <x:v>無電梯＋價格</x:v>
      </x:c>
      <x:c r="G17" t="str">
        <x:v>備選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sheetData>
    <x:row r="1">
      <x:c r="A1" t="str">
        <x:v>備用景點與臨時替代｜選擇庫</x:v>
      </x:c>
      <x:c r="B1"/>
      <x:c r="C1"/>
      <x:c r="D1"/>
      <x:c r="E1"/>
      <x:c r="F1"/>
      <x:c r="G1"/>
      <x:c r="H1"/>
      <x:c r="I1"/>
    </x:row>
    <x:row r="2">
      <x:c r="A2" t="str">
        <x:v>這些不是新增必排行程，而是雨天、臨休、體力變化時的替換選項。</x:v>
      </x:c>
      <x:c r="B2"/>
      <x:c r="C2"/>
      <x:c r="D2"/>
      <x:c r="E2"/>
      <x:c r="F2"/>
      <x:c r="G2"/>
      <x:c r="H2"/>
      <x:c r="I2"/>
    </x:row>
    <x:row r="3">
      <x:c r="A3"/>
      <x:c r="B3"/>
      <x:c r="C3"/>
      <x:c r="D3"/>
      <x:c r="E3"/>
      <x:c r="F3"/>
      <x:c r="G3"/>
      <x:c r="H3"/>
      <x:c r="I3"/>
    </x:row>
    <x:row r="4">
      <x:c r="A4" t="str">
        <x:v>選項</x:v>
      </x:c>
      <x:c r="B4" t="str">
        <x:v>類型</x:v>
      </x:c>
      <x:c r="C4" t="str">
        <x:v>區域</x:v>
      </x:c>
      <x:c r="D4" t="str">
        <x:v>適合哪天</x:v>
      </x:c>
      <x:c r="E4" t="str">
        <x:v>雨天價值</x:v>
      </x:c>
      <x:c r="F4" t="str">
        <x:v>2人門票/預算</x:v>
      </x:c>
      <x:c r="G4" t="str">
        <x:v>最適合替換</x:v>
      </x:c>
      <x:c r="H4" t="str">
        <x:v>保留理由</x:v>
      </x:c>
      <x:c r="I4" t="str">
        <x:v>來源</x:v>
      </x:c>
    </x:row>
    <x:row r="5">
      <x:c r="A5" t="str">
        <x:v>MAIIAM Contemporary Art Museum</x:v>
      </x:c>
      <x:c r="B5" t="str">
        <x:v>美術館</x:v>
      </x:c>
      <x:c r="C5" t="str">
        <x:v>San Kamphaeng</x:v>
      </x:c>
      <x:c r="D5" t="str">
        <x:v>9/24–9/26、10/2</x:v>
      </x:c>
      <x:c r="E5" t="str">
        <x:v>很高</x:v>
      </x:c>
      <x:c r="F5" t="str">
        <x:v>約400 THB</x:v>
      </x:c>
      <x:c r="G5" t="str">
        <x:v>Chamcha / Skyline / Kerchor停辦</x:v>
      </x:c>
      <x:c r="H5" t="str">
        <x:v>東側位置很適合取代原郊區行程</x:v>
      </x:c>
      <x:c r="I5" t="str">
        <x:v>https://maiiam.com/en</x:v>
      </x:c>
    </x:row>
    <x:row r="6">
      <x:c r="A6" t="str">
        <x:v>Chiang Mai City Arts &amp; Cultural Centre</x:v>
      </x:c>
      <x:c r="B6" t="str">
        <x:v>博物館</x:v>
      </x:c>
      <x:c r="C6" t="str">
        <x:v>舊城</x:v>
      </x:c>
      <x:c r="D6" t="str">
        <x:v>9/27、9/30</x:v>
      </x:c>
      <x:c r="E6" t="str">
        <x:v>很高</x:v>
      </x:c>
      <x:c r="F6" t="str">
        <x:v>約180 THB</x:v>
      </x:c>
      <x:c r="G6" t="str">
        <x:v>塔佩/市集/寺廟雨備</x:v>
      </x:c>
      <x:c r="H6" t="str">
        <x:v>室內＋清邁歷史脈絡</x:v>
      </x:c>
      <x:c r="I6" t="str">
        <x:v>https://cmocity.com/chiang-mai-art-cultural-centre/</x:v>
      </x:c>
    </x:row>
    <x:row r="7">
      <x:c r="A7" t="str">
        <x:v>Lanna Folklife Museum</x:v>
      </x:c>
      <x:c r="B7" t="str">
        <x:v>博物館</x:v>
      </x:c>
      <x:c r="C7" t="str">
        <x:v>舊城</x:v>
      </x:c>
      <x:c r="D7" t="str">
        <x:v>9/27、9/30</x:v>
      </x:c>
      <x:c r="E7" t="str">
        <x:v>很高</x:v>
      </x:c>
      <x:c r="F7" t="str">
        <x:v>約180 THB</x:v>
      </x:c>
      <x:c r="G7" t="str">
        <x:v>同上</x:v>
      </x:c>
      <x:c r="H7" t="str">
        <x:v>可與City Arts串聯</x:v>
      </x:c>
      <x:c r="I7" t="str">
        <x:v>https://cmocity.com/lanna-folklife-museum/</x:v>
      </x:c>
    </x:row>
    <x:row r="8">
      <x:c r="A8" t="str">
        <x:v>One Nimman</x:v>
      </x:c>
      <x:c r="B8" t="str">
        <x:v>商場/餐飲</x:v>
      </x:c>
      <x:c r="C8" t="str">
        <x:v>Nimman</x:v>
      </x:c>
      <x:c r="D8" t="str">
        <x:v>任何下午/晚上</x:v>
      </x:c>
      <x:c r="E8" t="str">
        <x:v>高</x:v>
      </x:c>
      <x:c r="F8" t="str">
        <x:v>依消費</x:v>
      </x:c>
      <x:c r="G8" t="str">
        <x:v>White Market / 戶外選物</x:v>
      </x:c>
      <x:c r="H8" t="str">
        <x:v>雨天仍能吃飯逛店</x:v>
      </x:c>
      <x:c r="I8" t="str">
        <x:v>—</x:v>
      </x:c>
    </x:row>
    <x:row r="9">
      <x:c r="A9" t="str">
        <x:v>MAYA Lifestyle Shopping Center</x:v>
      </x:c>
      <x:c r="B9" t="str">
        <x:v>商場</x:v>
      </x:c>
      <x:c r="C9" t="str">
        <x:v>Nimman</x:v>
      </x:c>
      <x:c r="D9" t="str">
        <x:v>任何時段</x:v>
      </x:c>
      <x:c r="E9" t="str">
        <x:v>高</x:v>
      </x:c>
      <x:c r="F9" t="str">
        <x:v>依消費</x:v>
      </x:c>
      <x:c r="G9" t="str">
        <x:v>Baan Kang Wat / 夜市</x:v>
      </x:c>
      <x:c r="H9" t="str">
        <x:v>室內完整、叫車容易</x:v>
      </x:c>
      <x:c r="I9" t="str">
        <x:v>—</x:v>
      </x:c>
    </x:row>
    <x:row r="10">
      <x:c r="A10" t="str">
        <x:v>Central Chiangmai Airport</x:v>
      </x:c>
      <x:c r="B10" t="str">
        <x:v>商場</x:v>
      </x:c>
      <x:c r="C10" t="str">
        <x:v>機場南側</x:v>
      </x:c>
      <x:c r="D10" t="str">
        <x:v>9/23時間夠才去 / 夜市雨天</x:v>
      </x:c>
      <x:c r="E10" t="str">
        <x:v>高</x:v>
      </x:c>
      <x:c r="F10" t="str">
        <x:v>依消費</x:v>
      </x:c>
      <x:c r="G10" t="str">
        <x:v>週六夜市大雨</x:v>
      </x:c>
      <x:c r="H10" t="str">
        <x:v>但9/23不能影響Chai Lai接駁</x:v>
      </x:c>
      <x:c r="I10" t="str">
        <x:v>—</x:v>
      </x:c>
    </x:row>
    <x:row r="11">
      <x:c r="A11" t="str">
        <x:v>Chiang Mai University Night Market</x:v>
      </x:c>
      <x:c r="B11" t="str">
        <x:v>夜市/餐飲</x:v>
      </x:c>
      <x:c r="C11" t="str">
        <x:v>CMU</x:v>
      </x:c>
      <x:c r="D11" t="str">
        <x:v>臨時空晚</x:v>
      </x:c>
      <x:c r="E11" t="str">
        <x:v>低</x:v>
      </x:c>
      <x:c r="F11" t="str">
        <x:v>300–800 THB</x:v>
      </x:c>
      <x:c r="G11" t="str">
        <x:v>沒有夜市的晚上</x:v>
      </x:c>
      <x:c r="H11" t="str">
        <x:v>學生感、餐飲多</x:v>
      </x:c>
      <x:c r="I11" t="str">
        <x:v>原始備選</x:v>
      </x:c>
    </x:row>
    <x:row r="12">
      <x:c r="A12" t="str">
        <x:v>North Gate Pork Leg＋Somphet＋Warorot線</x:v>
      </x:c>
      <x:c r="B12" t="str">
        <x:v>餐飲/市場</x:v>
      </x:c>
      <x:c r="C12" t="str">
        <x:v>舊城北→東</x:v>
      </x:c>
      <x:c r="D12" t="str">
        <x:v>臨時空半日</x:v>
      </x:c>
      <x:c r="E12" t="str">
        <x:v>中</x:v>
      </x:c>
      <x:c r="F12" t="str">
        <x:v>300–700 THB</x:v>
      </x:c>
      <x:c r="G12" t="str">
        <x:v>咖啡臨休/空檔</x:v>
      </x:c>
      <x:c r="H12" t="str">
        <x:v>可做簡單半日線</x:v>
      </x:c>
      <x:c r="I12" t="str">
        <x:v>原始備選</x:v>
      </x:c>
    </x:row>
    <x:row r="13">
      <x:c r="A13" t="str">
        <x:v>Big Big Shabu</x:v>
      </x:c>
      <x:c r="B13" t="str">
        <x:v>餐飲</x:v>
      </x:c>
      <x:c r="C13" t="str">
        <x:v>依定位</x:v>
      </x:c>
      <x:c r="D13" t="str">
        <x:v>雨天晚餐</x:v>
      </x:c>
      <x:c r="E13" t="str">
        <x:v>高</x:v>
      </x:c>
      <x:c r="F13" t="str">
        <x:v>依實際</x:v>
      </x:c>
      <x:c r="G13" t="str">
        <x:v>夜市取消</x:v>
      </x:c>
      <x:c r="H13" t="str">
        <x:v>純室內晚餐備案</x:v>
      </x:c>
      <x:c r="I13" t="str">
        <x:v>原始備選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sheetData>
    <x:row r="1">
      <x:c r="A1" t="str">
        <x:v>10/3回程、泰國退稅與台灣入境</x:v>
      </x:c>
      <x:c r="B1"/>
      <x:c r="C1"/>
      <x:c r="D1"/>
      <x:c r="E1"/>
      <x:c r="F1"/>
      <x:c r="G1"/>
      <x:c r="H1"/>
    </x:row>
    <x:row r="2">
      <x:c r="A2" t="str">
        <x:v>10/2晚先整理；10/3不要到機場才處理行動電源、肉品、水果或退稅文件。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階段</x:v>
      </x:c>
      <x:c r="B4" t="str">
        <x:v>項目</x:v>
      </x:c>
      <x:c r="C4" t="str">
        <x:v>規則/資訊</x:v>
      </x:c>
      <x:c r="D4" t="str">
        <x:v>你們要做什麼</x:v>
      </x:c>
      <x:c r="E4" t="str">
        <x:v>風險</x:v>
      </x:c>
      <x:c r="F4" t="str">
        <x:v>狀態</x:v>
      </x:c>
      <x:c r="G4" t="str">
        <x:v>來源</x:v>
      </x:c>
      <x:c r="H4" t="str">
        <x:v>備註</x:v>
      </x:c>
    </x:row>
    <x:row r="5">
      <x:c r="A5" t="str">
        <x:v>泰國購物</x:v>
      </x:c>
      <x:c r="B5" t="str">
        <x:v>VAT Refund</x:v>
      </x:c>
      <x:c r="C5" t="str">
        <x:v>有VAT Refund標示且符合門檻、取得P.P.10/e-P.P.10與稅單才可辦</x:v>
      </x:c>
      <x:c r="D5" t="str">
        <x:v>購買當下就問店家</x:v>
      </x:c>
      <x:c r="E5" t="str">
        <x:v>中</x:v>
      </x:c>
      <x:c r="F5" t="str">
        <x:v>待完成</x:v>
      </x:c>
      <x:c r="G5" t="str">
        <x:v>https://vrtweb.rd.go.th/38.html</x:v>
      </x:c>
      <x:c r="H5" t="str">
        <x:v>高價品可能需報到前海關查驗</x:v>
      </x:c>
    </x:row>
    <x:row r="6">
      <x:c r="A6" t="str">
        <x:v>10/2晚</x:v>
      </x:c>
      <x:c r="B6" t="str">
        <x:v>行李秤重</x:v>
      </x:c>
      <x:c r="C6" t="str">
        <x:v>液體/尖銳/易碎/行動電源分類</x:v>
      </x:c>
      <x:c r="D6" t="str">
        <x:v>完成95%打包</x:v>
      </x:c>
      <x:c r="E6" t="str">
        <x:v>高</x:v>
      </x:c>
      <x:c r="F6" t="str">
        <x:v>待完成</x:v>
      </x:c>
      <x:c r="G6" t="str">
        <x:v>—</x:v>
      </x:c>
      <x:c r="H6" t="str">
        <x:v>拍行李內容照片</x:v>
      </x:c>
    </x:row>
    <x:row r="7">
      <x:c r="A7" t="str">
        <x:v>JX752</x:v>
      </x:c>
      <x:c r="B7" t="str">
        <x:v>線上報到</x:v>
      </x:c>
      <x:c r="C7" t="str">
        <x:v>亞洲航線一般48h至起飛前1h；最終依航班</x:v>
      </x:c>
      <x:c r="D7" t="str">
        <x:v>10/1起App確認</x:v>
      </x:c>
      <x:c r="E7" t="str">
        <x:v>中</x:v>
      </x:c>
      <x:c r="F7" t="str">
        <x:v>待完成</x:v>
      </x:c>
      <x:c r="G7" t="str">
        <x:v>https://www.starlux-airlines.com/en-TW/support/faq/check-in</x:v>
      </x:c>
      <x:c r="H7" t="str">
        <x:v>托運仍到櫃台</x:v>
      </x:c>
    </x:row>
    <x:row r="8">
      <x:c r="A8" t="str">
        <x:v>JX752</x:v>
      </x:c>
      <x:c r="B8" t="str">
        <x:v>行動電源</x:v>
      </x:c>
      <x:c r="C8" t="str">
        <x:v>每人最多2個；手提；≤100Wh；禁用/充電；勿放頭頂櫃</x:v>
      </x:c>
      <x:c r="D8" t="str">
        <x:v>放可控制位置</x:v>
      </x:c>
      <x:c r="E8" t="str">
        <x:v>最高</x:v>
      </x:c>
      <x:c r="F8" t="str">
        <x:v>待完成</x:v>
      </x:c>
      <x:c r="G8" t="str">
        <x:v>https://www.starlux-airlines.com/en-Global/check-in-fly/travel-information/inflight-notice/regulations-on-the-use-of-electronic-devices</x:v>
      </x:c>
      <x:c r="H8" t="str">
        <x:v>容量標示清楚</x:v>
      </x:c>
    </x:row>
    <x:row r="9">
      <x:c r="A9" t="str">
        <x:v>回台海關</x:v>
      </x:c>
      <x:c r="B9" t="str">
        <x:v>一般物品</x:v>
      </x:c>
      <x:c r="C9" t="str">
        <x:v>個人自用其他物品免稅總值原則NT$35,000/人</x:v>
      </x:c>
      <x:c r="D9" t="str">
        <x:v>高價購物留收據；超額申報</x:v>
      </x:c>
      <x:c r="E9" t="str">
        <x:v>高</x:v>
      </x:c>
      <x:c r="F9" t="str">
        <x:v>待完成</x:v>
      </x:c>
      <x:c r="G9" t="str">
        <x:v>https://web.customs.gov.tw/etaipei/singlehtml/1367?cntId=c169690278c641edb4c70868eccbb6f6</x:v>
      </x:c>
      <x:c r="H9" t="str">
        <x:v>受管制品另計</x:v>
      </x:c>
    </x:row>
    <x:row r="10">
      <x:c r="A10" t="str">
        <x:v>回台海關</x:v>
      </x:c>
      <x:c r="B10" t="str">
        <x:v>酒/菸</x:v>
      </x:c>
      <x:c r="C10" t="str">
        <x:v>20歲以上酒1.5L；香菸200支等免稅額</x:v>
      </x:c>
      <x:c r="D10" t="str">
        <x:v>超額依規定申報</x:v>
      </x:c>
      <x:c r="E10" t="str">
        <x:v>高</x:v>
      </x:c>
      <x:c r="F10" t="str">
        <x:v>待完成</x:v>
      </x:c>
      <x:c r="G10" t="str">
        <x:v>https://web.customs.gov.tw/en/singlehtml/1865?cntId=cus16_87451_1865</x:v>
      </x:c>
      <x:c r="H10" t="str">
        <x:v>不代帶</x:v>
      </x:c>
    </x:row>
    <x:row r="11">
      <x:c r="A11" t="str">
        <x:v>回台檢疫</x:v>
      </x:c>
      <x:c r="B11" t="str">
        <x:v>肉品/動物產品</x:v>
      </x:c>
      <x:c r="C11" t="str">
        <x:v>泰國肉乾、香腸、含肉食品等不要任意攜回</x:v>
      </x:c>
      <x:c r="D11" t="str">
        <x:v>買伴手禮先看成分</x:v>
      </x:c>
      <x:c r="E11" t="str">
        <x:v>最高</x:v>
      </x:c>
      <x:c r="F11" t="str">
        <x:v>待完成</x:v>
      </x:c>
      <x:c r="G11" t="str">
        <x:v>https://www.aphia.gov.tw/ws.php?id=10726</x:v>
      </x:c>
      <x:c r="H11" t="str">
        <x:v>不確定就申報</x:v>
      </x:c>
    </x:row>
    <x:row r="12">
      <x:c r="A12" t="str">
        <x:v>回台檢疫</x:v>
      </x:c>
      <x:c r="B12" t="str">
        <x:v>新鮮水果/土壤植物</x:v>
      </x:c>
      <x:c r="C12" t="str">
        <x:v>新鮮水果等不可任意攜入；附土植物嚴格限制</x:v>
      </x:c>
      <x:c r="D12" t="str">
        <x:v>水果在泰國吃完</x:v>
      </x:c>
      <x:c r="E12" t="str">
        <x:v>最高</x:v>
      </x:c>
      <x:c r="F12" t="str">
        <x:v>待完成</x:v>
      </x:c>
      <x:c r="G12" t="str">
        <x:v>https://www.aphia.gov.tw/ws.php?id=10733</x:v>
      </x:c>
      <x:c r="H12" t="str">
        <x:v>加工品仍看成分</x:v>
      </x:c>
    </x:row>
    <x:row r="13">
      <x:c r="A13" t="str">
        <x:v>回台</x:v>
      </x:c>
      <x:c r="B13" t="str">
        <x:v>電子菸</x:v>
      </x:c>
      <x:c r="C13" t="str">
        <x:v>不要帶回台</x:v>
      </x:c>
      <x:c r="D13" t="str">
        <x:v>完全排除</x:v>
      </x:c>
      <x:c r="E13" t="str">
        <x:v>最高</x:v>
      </x:c>
      <x:c r="F13" t="str">
        <x:v>待完成</x:v>
      </x:c>
      <x:c r="G13" t="str">
        <x:v>台灣海關/菸害法規</x:v>
      </x:c>
      <x:c r="H13" t="str">
        <x:v>—</x:v>
      </x:c>
    </x:row>
    <x:row r="14">
      <x:c r="A14" t="str">
        <x:v>回國後</x:v>
      </x:c>
      <x:c r="B14" t="str">
        <x:v>信用卡/退款</x:v>
      </x:c>
      <x:c r="C14" t="str">
        <x:v>核對海外交易、押金、叫車、退稅</x:v>
      </x:c>
      <x:c r="D14" t="str">
        <x:v>一週內檢查</x:v>
      </x:c>
      <x:c r="E14" t="str">
        <x:v>中</x:v>
      </x:c>
      <x:c r="F14" t="str">
        <x:v>待完成</x:v>
      </x:c>
      <x:c r="G14" t="str">
        <x:v>—</x:v>
      </x:c>
      <x:c r="H14" t="str">
        <x:v>異常交易立刻聯絡銀行</x:v>
      </x:c>
    </x:row>
    <x:row r="15">
      <x:c r="A15" t="str">
        <x:v>回國後</x:v>
      </x:c>
      <x:c r="B15" t="str">
        <x:v>健康</x:v>
      </x:c>
      <x:c r="C15" t="str">
        <x:v>有發燒/皮疹/嚴重腹瀉等告知旅遊史</x:v>
      </x:c>
      <x:c r="D15" t="str">
        <x:v>就醫說明9/23–10/3泰國</x:v>
      </x:c>
      <x:c r="E15" t="str">
        <x:v>中</x:v>
      </x:c>
      <x:c r="F15" t="str">
        <x:v>待完成</x:v>
      </x:c>
      <x:c r="G15" t="str">
        <x:v>https://www.cdc.gov.tw/InternationalTravel/</x:v>
      </x:c>
      <x:c r="H15" t="str">
        <x:v>—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sheetData>
    <x:row r="1">
      <x:c r="A1" t="str">
        <x:v>官方來源與出發前再查清單</x:v>
      </x:c>
      <x:c r="B1"/>
      <x:c r="C1"/>
      <x:c r="D1"/>
      <x:c r="E1"/>
      <x:c r="F1"/>
    </x:row>
    <x:row r="2">
      <x:c r="A2" t="str">
        <x:v>價格、營業、活動公告會變；這張告訴你哪些一定要最後再核。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主題</x:v>
      </x:c>
      <x:c r="B4" t="str">
        <x:v>來源</x:v>
      </x:c>
      <x:c r="C4" t="str">
        <x:v>查證內容</x:v>
      </x:c>
      <x:c r="D4" t="str">
        <x:v>目前結論</x:v>
      </x:c>
      <x:c r="E4" t="str">
        <x:v>最後查核</x:v>
      </x:c>
      <x:c r="F4" t="str">
        <x:v>再查時點</x:v>
      </x:c>
    </x:row>
    <x:row r="5">
      <x:c r="A5" t="str">
        <x:v>2026免簽新制</x:v>
      </x:c>
      <x:c r="B5" t="str">
        <x:v>https://consular.mfa.go.th/th/content/1-9-69-00</x:v>
      </x:c>
      <x:c r="C5" t="str">
        <x:v>生效與天數</x:v>
      </x:c>
      <x:c r="D5" t="str">
        <x:v>9/15起新版免簽；本行程11天</x:v>
      </x:c>
      <x:c r="E5" t="str">
        <x:v>2026/09/13</x:v>
      </x:c>
      <x:c r="F5" t="str">
        <x:v>9/21</x:v>
      </x:c>
    </x:row>
    <x:row r="6">
      <x:c r="A6" t="str">
        <x:v>財力要求</x:v>
      </x:c>
      <x:c r="B6" t="str">
        <x:v>https://washingtondc.thaiembassy.org/en/page/visaexempt-voajul2024?form=MG0AV3</x:v>
      </x:c>
      <x:c r="C6" t="str">
        <x:v>入境資金</x:v>
      </x:c>
      <x:c r="D6" t="str">
        <x:v>20,000THB/人；40,000THB/家庭</x:v>
      </x:c>
      <x:c r="E6" t="str">
        <x:v>2026/09/13</x:v>
      </x:c>
      <x:c r="F6" t="str">
        <x:v>9/21</x:v>
      </x:c>
    </x:row>
    <x:row r="7">
      <x:c r="A7" t="str">
        <x:v>TDAC</x:v>
      </x:c>
      <x:c r="B7" t="str">
        <x:v>https://tdac.immigration.go.th/manual/en/faq.html</x:v>
      </x:c>
      <x:c r="C7" t="str">
        <x:v>申請時間/群組</x:v>
      </x:c>
      <x:c r="D7" t="str">
        <x:v>抵達日前3天內；兩人可群組</x:v>
      </x:c>
      <x:c r="E7" t="str">
        <x:v>2026/09/13</x:v>
      </x:c>
      <x:c r="F7" t="str">
        <x:v>9/21</x:v>
      </x:c>
    </x:row>
    <x:row r="8">
      <x:c r="A8" t="str">
        <x:v>泰國海關</x:v>
      </x:c>
      <x:c r="B8" t="str">
        <x:v>https://www.customs.go.th/list_strc_simple_neted.php?lang=en</x:v>
      </x:c>
      <x:c r="C8" t="str">
        <x:v>免稅/菸酒</x:v>
      </x:c>
      <x:c r="D8" t="str">
        <x:v>個人物品與菸酒有限額</x:v>
      </x:c>
      <x:c r="E8" t="str">
        <x:v>2026/09/13</x:v>
      </x:c>
      <x:c r="F8" t="str">
        <x:v>9/21</x:v>
      </x:c>
    </x:row>
    <x:row r="9">
      <x:c r="A9" t="str">
        <x:v>Thai FDA</x:v>
      </x:c>
      <x:c r="B9" t="str">
        <x:v>https://permitfortraveler.fda.moph.go.th/nct_permit_main/Main/FRM_checkdrug_index</x:v>
      </x:c>
      <x:c r="C9" t="str">
        <x:v>管制藥</x:v>
      </x:c>
      <x:c r="D9" t="str">
        <x:v>部分需醫師證明/許可</x:v>
      </x:c>
      <x:c r="E9" t="str">
        <x:v>2026/09/13</x:v>
      </x:c>
      <x:c r="F9" t="str">
        <x:v>如有用藥立即</x:v>
      </x:c>
    </x:row>
    <x:row r="10">
      <x:c r="A10" t="str">
        <x:v>EVA行動電源</x:v>
      </x:c>
      <x:c r="B10" t="str">
        <x:v>https://www.evaair.com/th-th/about-eva-air/news/travel-news/2026-03-30-the-new-specifications-for-carrying-power-banks-in-carry-on-baggage.html</x:v>
      </x:c>
      <x:c r="C10" t="str">
        <x:v>數量/機上</x:v>
      </x:c>
      <x:c r="D10" t="str">
        <x:v>每人最多2；不可託運；機上不使用/充電</x:v>
      </x:c>
      <x:c r="E10" t="str">
        <x:v>2026/09/13</x:v>
      </x:c>
      <x:c r="F10" t="str">
        <x:v>9/22</x:v>
      </x:c>
    </x:row>
    <x:row r="11">
      <x:c r="A11" t="str">
        <x:v>STARLUX行動電源</x:v>
      </x:c>
      <x:c r="B11" t="str">
        <x:v>https://www.starlux-airlines.com/en-Global/check-in-fly/travel-information/inflight-notice/regulations-on-the-use-of-electronic-devices</x:v>
      </x:c>
      <x:c r="C11" t="str">
        <x:v>數量/容量/機上</x:v>
      </x:c>
      <x:c r="D11" t="str">
        <x:v>每人最多2；≤100Wh；機上禁用/充電</x:v>
      </x:c>
      <x:c r="E11" t="str">
        <x:v>2026/09/13</x:v>
      </x:c>
      <x:c r="F11" t="str">
        <x:v>10/2</x:v>
      </x:c>
    </x:row>
    <x:row r="12">
      <x:c r="A12" t="str">
        <x:v>KKday eSIM</x:v>
      </x:c>
      <x:c r="B12" t="str">
        <x:v>https://www.kkday.com/zh-tw/product/156018</x:v>
      </x:c>
      <x:c r="C12" t="str">
        <x:v>10日方案/實名/促銷</x:v>
      </x:c>
      <x:c r="D12" t="str">
        <x:v>10日與11天旅程有最後一天缺口</x:v>
      </x:c>
      <x:c r="E12" t="str">
        <x:v>2026/09/13</x:v>
      </x:c>
      <x:c r="F12" t="str">
        <x:v>9/22</x:v>
      </x:c>
    </x:row>
    <x:row r="13">
      <x:c r="A13" t="str">
        <x:v>Kerchor</x:v>
      </x:c>
      <x:c r="B13" t="str">
        <x:v>https://www.kkday.com/zh-tw/product/25082-kerchor-elephant-eco-park-half-day-tour-chiang-mai-thailand</x:v>
      </x:c>
      <x:c r="C13" t="str">
        <x:v>一日遊/接駁/價格</x:v>
      </x:c>
      <x:c r="D13" t="str">
        <x:v>實際方案以訂單與最終集合通知</x:v>
      </x:c>
      <x:c r="E13" t="str">
        <x:v>2026/09/13</x:v>
      </x:c>
      <x:c r="F13" t="str">
        <x:v>9/23晚</x:v>
      </x:c>
    </x:row>
    <x:row r="14">
      <x:c r="A14" t="str">
        <x:v>Chai Lai</x:v>
      </x:c>
      <x:c r="B14" t="str">
        <x:v>https://chailaiorchid.com/location/</x:v>
      </x:c>
      <x:c r="C14" t="str">
        <x:v>接駁/交通</x:v>
      </x:c>
      <x:c r="D14" t="str">
        <x:v>依飯店最終接駁安排</x:v>
      </x:c>
      <x:c r="E14" t="str">
        <x:v>2026/09/13</x:v>
      </x:c>
      <x:c r="F14" t="str">
        <x:v>9/18＋9/23</x:v>
      </x:c>
    </x:row>
    <x:row r="15">
      <x:c r="A15" t="str">
        <x:v>Skyline</x:v>
      </x:c>
      <x:c r="B15" t="str">
        <x:v>https://skylinejungleluge.com/packages/extreme/</x:v>
      </x:c>
      <x:c r="C15" t="str">
        <x:v>價格/限制</x:v>
      </x:c>
      <x:c r="D15" t="str">
        <x:v>Extreme 2,450THB/人起；110kg等限制</x:v>
      </x:c>
      <x:c r="E15" t="str">
        <x:v>2026/09/13</x:v>
      </x:c>
      <x:c r="F15" t="str">
        <x:v>9/24晚</x:v>
      </x:c>
    </x:row>
    <x:row r="16">
      <x:c r="A16" t="str">
        <x:v>9月氣候</x:v>
      </x:c>
      <x:c r="B16" t="str">
        <x:v>https://tmd.go.th/forecast/monthly/092026</x:v>
      </x:c>
      <x:c r="C16" t="str">
        <x:v>雨日/雨量</x:v>
      </x:c>
      <x:c r="D16" t="str">
        <x:v>北部9月17–19雨日、160–200mm</x:v>
      </x:c>
      <x:c r="E16" t="str">
        <x:v>2026/09/13</x:v>
      </x:c>
      <x:c r="F16" t="str">
        <x:v>9/20起每日</x:v>
      </x:c>
    </x:row>
    <x:row r="17">
      <x:c r="A17" t="str">
        <x:v>Jing Jai</x:v>
      </x:c>
      <x:c r="B17" t="str">
        <x:v>https://jingjaicentralchiangmai.com/market</x:v>
      </x:c>
      <x:c r="C17" t="str">
        <x:v>週末/Friday活動</x:v>
      </x:c>
      <x:c r="D17" t="str">
        <x:v>週末明確；10/2 Friday待10月公告</x:v>
      </x:c>
      <x:c r="E17" t="str">
        <x:v>2026/09/13</x:v>
      </x:c>
      <x:c r="F17" t="str">
        <x:v>10/1</x:v>
      </x:c>
    </x:row>
    <x:row r="18">
      <x:c r="A18" t="str">
        <x:v>泰國VAT Refund</x:v>
      </x:c>
      <x:c r="B18" t="str">
        <x:v>https://vrtweb.rd.go.th/81.html</x:v>
      </x:c>
      <x:c r="C18" t="str">
        <x:v>購物門檻</x:v>
      </x:c>
      <x:c r="D18" t="str">
        <x:v>同店同日≥2,000THB；需合規文件</x:v>
      </x:c>
      <x:c r="E18" t="str">
        <x:v>2026/09/13</x:v>
      </x:c>
      <x:c r="F18" t="str">
        <x:v>購物當下</x:v>
      </x:c>
    </x:row>
    <x:row r="19">
      <x:c r="A19" t="str">
        <x:v>泰國電力</x:v>
      </x:c>
      <x:c r="B19" t="str">
        <x:v>https://www.tourismthailand.org/Articles/plan-your-trip-electricity</x:v>
      </x:c>
      <x:c r="C19" t="str">
        <x:v>電壓/插座</x:v>
      </x:c>
      <x:c r="D19" t="str">
        <x:v>220V 50Hz</x:v>
      </x:c>
      <x:c r="E19" t="str">
        <x:v>2026/09/13</x:v>
      </x:c>
      <x:c r="F19" t="str">
        <x:v>不必再查</x:v>
      </x:c>
    </x:row>
    <x:row r="20">
      <x:c r="A20" t="str">
        <x:v>台灣動物檢疫</x:v>
      </x:c>
      <x:c r="B20" t="str">
        <x:v>https://www.aphia.gov.tw/ws.php?id=10726</x:v>
      </x:c>
      <x:c r="C20" t="str">
        <x:v>肉品</x:v>
      </x:c>
      <x:c r="D20" t="str">
        <x:v>肉品/動物產品高度注意</x:v>
      </x:c>
      <x:c r="E20" t="str">
        <x:v>2026/09/13</x:v>
      </x:c>
      <x:c r="F20" t="str">
        <x:v>10/2</x:v>
      </x:c>
    </x:row>
    <x:row r="21">
      <x:c r="A21" t="str">
        <x:v>台灣植物檢疫</x:v>
      </x:c>
      <x:c r="B21" t="str">
        <x:v>https://www.aphia.gov.tw/ws.php?id=10733</x:v>
      </x:c>
      <x:c r="C21" t="str">
        <x:v>水果植物</x:v>
      </x:c>
      <x:c r="D21" t="str">
        <x:v>新鮮水果等不可任意攜回</x:v>
      </x:c>
      <x:c r="E21" t="str">
        <x:v>2026/09/13</x:v>
      </x:c>
      <x:c r="F21" t="str">
        <x:v>10/2</x:v>
      </x:c>
    </x:row>
    <x:row r="22">
      <x:c r="A22" t="str">
        <x:v>台灣海關</x:v>
      </x:c>
      <x:c r="B22" t="str">
        <x:v>https://web.customs.gov.tw/etaipei/singlehtml/1367?cntId=c169690278c641edb4c70868eccbb6f6</x:v>
      </x:c>
      <x:c r="C22" t="str">
        <x:v>一般免稅</x:v>
      </x:c>
      <x:c r="D22" t="str">
        <x:v>其他自用物品原則NT$35,000/人</x:v>
      </x:c>
      <x:c r="E22" t="str">
        <x:v>2026/09/13</x:v>
      </x:c>
      <x:c r="F22" t="str">
        <x:v>10/2</x:v>
      </x:c>
    </x:row>
    <x:row r="23">
      <x:c r="A23" t="str">
        <x:v>金管會旅行保險提醒</x:v>
      </x:c>
      <x:c r="B23" t="str">
        <x:v>https://www.fsc.gov.tw/ch/home.jsp?dataserno=202411210002&amp;dtable=News&amp;id=96&amp;mcustomize=news_view.jsp&amp;parentpath=0</x:v>
      </x:c>
      <x:c r="C23" t="str">
        <x:v>旅平險/傷害醫療/海外突發疾病/不便險</x:v>
      </x:c>
      <x:c r="D23" t="str">
        <x:v>不同保障需分開確認；注意除外與理賠條件</x:v>
      </x:c>
      <x:c r="E23" t="str">
        <x:v>2026/09/13</x:v>
      </x:c>
      <x:c r="F23" t="str">
        <x:v>投保前</x:v>
      </x:c>
    </x:row>
    <x:row r="24">
      <x:c r="A24" t="str">
        <x:v>海外旅行不便險參考條款</x:v>
      </x:c>
      <x:c r="B24" t="str">
        <x:v>https://law.fsc.gov.tw/LawContent.aspx?id=GL003523</x:v>
      </x:c>
      <x:c r="C24" t="str">
        <x:v>取消/延誤/更改/行李/文件</x:v>
      </x:c>
      <x:c r="D24" t="str">
        <x:v>實際商品的門檻、額度與條件各家不同</x:v>
      </x:c>
      <x:c r="E24" t="str">
        <x:v>2026/09/13</x:v>
      </x:c>
      <x:c r="F24" t="str">
        <x:v>投保前</x:v>
      </x:c>
    </x:row>
    <x:row r="25">
      <x:c r="A25" t="str">
        <x:v>旅行平安保險示範條款</x:v>
      </x:c>
      <x:c r="B25" t="str">
        <x:v>https://law.fsc.gov.tw/LawContent.aspx?id=FL006850</x:v>
      </x:c>
      <x:c r="C25" t="str">
        <x:v>意外定義/不保事項/延誤延長</x:v>
      </x:c>
      <x:c r="D25" t="str">
        <x:v>特定競賽/表演不保；實際戶外活動需向保險公司確認</x:v>
      </x:c>
      <x:c r="E25" t="str">
        <x:v>2026/09/13</x:v>
      </x:c>
      <x:c r="F25" t="str">
        <x:v>投保前</x:v>
      </x:c>
    </x:row>
    <x:row r="26">
      <x:c r="A26" t="str">
        <x:v>國泰產險海外旅遊險</x:v>
      </x:c>
      <x:c r="B26" t="str">
        <x:v>https://www.cathay-ins.com.tw/cathayins/personal/travel/oversea/</x:v>
      </x:c>
      <x:c r="C26" t="str">
        <x:v>U3/T5保額與急難救助</x:v>
      </x:c>
      <x:c r="D26" t="str">
        <x:v>U3取消/更改12萬、急難救助300萬等</x:v>
      </x:c>
      <x:c r="E26" t="str">
        <x:v>2026/09/13</x:v>
      </x:c>
      <x:c r="F26" t="str">
        <x:v>正式投保前再試算</x:v>
      </x:c>
    </x:row>
    <x:row r="27">
      <x:c r="A27" t="str">
        <x:v>富邦產險2026旅遊險</x:v>
      </x:c>
      <x:c r="B27" t="str">
        <x:v>https://www.fubon.com/insurance/b2c/content/prod_travel/index1.html</x:v>
      </x:c>
      <x:c r="C27" t="str">
        <x:v>PD1醫療/不便/救援</x:v>
      </x:c>
      <x:c r="D27" t="str">
        <x:v>海突含法傳；不便險與SOS救援完整</x:v>
      </x:c>
      <x:c r="E27" t="str">
        <x:v>2026/09/13</x:v>
      </x:c>
      <x:c r="F27" t="str">
        <x:v>正式投保前再試算</x:v>
      </x:c>
    </x:row>
    <x:row r="28">
      <x:c r="A28" t="str">
        <x:v>新光產險旅遊險</x:v>
      </x:c>
      <x:c r="B28" t="str">
        <x:v>https://www.sk858.com.tw/products/ta/default</x:v>
      </x:c>
      <x:c r="C28" t="str">
        <x:v>東南亞B/尊爵C</x:v>
      </x:c>
      <x:c r="D28" t="str">
        <x:v>B 10日起價約500/人；C保障較適合本次</x:v>
      </x:c>
      <x:c r="E28" t="str">
        <x:v>2026/09/13</x:v>
      </x:c>
      <x:c r="F28" t="str">
        <x:v>正式投保前</x:v>
      </x:c>
    </x:row>
    <x:row r="29">
      <x:c r="A29" t="str">
        <x:v>新安東京海上E保網</x:v>
      </x:c>
      <x:c r="B29" t="str">
        <x:v>https://ebo.tmnewa.com.tw/tmnewa/portal/index</x:v>
      </x:c>
      <x:c r="C29" t="str">
        <x:v>24h計費/東南亞示例/救援</x:v>
      </x:c>
      <x:c r="D29" t="str">
        <x:v>返家時間晚於起保整點可能加一天</x:v>
      </x:c>
      <x:c r="E29" t="str">
        <x:v>2026/09/13</x:v>
      </x:c>
      <x:c r="F29" t="str">
        <x:v>正式投保前</x:v>
      </x:c>
    </x:row>
    <x:row r="30">
      <x:c r="A30" t="str">
        <x:v>臺灣產物旅綜險</x:v>
      </x:c>
      <x:c r="B30" t="str">
        <x:v>https://ec.tfmi.com.tw/activity/202607/Index.aspx</x:v>
      </x:c>
      <x:c r="C30" t="str">
        <x:v>豪華遊/尊榮/環球方案</x:v>
      </x:c>
      <x:c r="D30" t="str">
        <x:v>豪華遊海突含法傳100萬，班延保期最高2.4萬</x:v>
      </x:c>
      <x:c r="E30" t="str">
        <x:v>2026/09/13</x:v>
      </x:c>
      <x:c r="F30" t="str">
        <x:v>正式投保前</x:v>
      </x:c>
    </x:row>
    <x:row r="31">
      <x:c r="A31" t="str">
        <x:v>明台產險旅遊險</x:v>
      </x:c>
      <x:c r="B31" t="str">
        <x:v>https://www.msig-mingtai.com.tw/ec/foreign-travel.html</x:v>
      </x:c>
      <x:c r="C31" t="str">
        <x:v>頭等晶鑽/救援/不便險</x:v>
      </x:c>
      <x:c r="D31" t="str">
        <x:v>頭等晶鑽頁面示例852；海突36萬、醫療90萬</x:v>
      </x:c>
      <x:c r="E31" t="str">
        <x:v>2026/09/13</x:v>
      </x:c>
      <x:c r="F31" t="str">
        <x:v>正式投保前</x:v>
      </x:c>
    </x:row>
    <x:row r="32">
      <x:c r="A32" t="str">
        <x:v>泰安產險旅遊險</x:v>
      </x:c>
      <x:c r="B32" t="str">
        <x:v>https://www.taian.com.tw/Travel/TravelProduct</x:v>
      </x:c>
      <x:c r="C32" t="str">
        <x:v>海外套餐C</x:v>
      </x:c>
      <x:c r="D32" t="str">
        <x:v>1000萬身故、100萬傷醫、海突頁面約90–100萬</x:v>
      </x:c>
      <x:c r="E32" t="str">
        <x:v>2026/09/13</x:v>
      </x:c>
      <x:c r="F32" t="str">
        <x:v>正式投保頁核對</x:v>
      </x:c>
    </x:row>
    <x:row r="33">
      <x:c r="A33" t="str">
        <x:v>安達Chubb旅遊險</x:v>
      </x:c>
      <x:c r="B33" t="str">
        <x:v>https://www.chubb.com/tw-zh/personal/personal-travel-insurance.html</x:v>
      </x:c>
      <x:c r="C33" t="str">
        <x:v>海外醫療/法傳/急難援助</x:v>
      </x:c>
      <x:c r="D33" t="str">
        <x:v>急難援助含醫療專機最高US$100,000</x:v>
      </x:c>
      <x:c r="E33" t="str">
        <x:v>2026/09/13</x:v>
      </x:c>
      <x:c r="F33" t="str">
        <x:v>正式投保前</x:v>
      </x:c>
    </x:row>
    <x:row r="34">
      <x:c r="A34" t="str">
        <x:v>2026不便險張數新制</x:v>
      </x:c>
      <x:c r="B34" t="str">
        <x:v>https://www.cathay-ins.com.tw/INSEBWeb/BOBE/travel/travel_quote/prompt?cid=line&amp;openExternalBrowser=1&amp;openexternalbrowser=1&amp;projectId=Q1VTMDIyNQ%3D%3D&amp;tckCode=4fXbnikw7e</x:v>
      </x:c>
      <x:c r="C34" t="str">
        <x:v>張數限制</x:v>
      </x:c>
      <x:c r="D34" t="str">
        <x:v>同保期全業界最多2張、同公司1張</x:v>
      </x:c>
      <x:c r="E34" t="str">
        <x:v>2026/09/13</x:v>
      </x:c>
      <x:c r="F34" t="str">
        <x:v>投保前盤點既有保障</x:v>
      </x:c>
    </x:row>
  </x:sheetData>
  <x:mergeCells>
    <x:mergeCell ref="A1:F1"/>
    <x:mergeCell ref="A2:F2"/>
  </x:mergeCells>
  <x:pageMargins left="0.7" right="0.7" top="0.75" bottom="0.75" header="0.3" footer="0.3"/>
</x:worksheet>
</file>